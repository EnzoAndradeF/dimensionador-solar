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zo.ferreira\Desktop\dimensionador-fotovoltaico-sigiloso\"/>
    </mc:Choice>
  </mc:AlternateContent>
  <xr:revisionPtr revIDLastSave="0" documentId="13_ncr:1_{E3C5C96A-C3BB-4906-B78A-A85C5553D34A}" xr6:coauthVersionLast="47" xr6:coauthVersionMax="47" xr10:uidLastSave="{00000000-0000-0000-0000-000000000000}"/>
  <bookViews>
    <workbookView xWindow="20370" yWindow="-4695" windowWidth="29040" windowHeight="15840" xr2:uid="{00000000-000D-0000-FFFF-FFFF00000000}"/>
  </bookViews>
  <sheets>
    <sheet name="MPPT" sheetId="1" r:id="rId1"/>
  </sheets>
  <definedNames>
    <definedName name="OpenSolver_ChosenSolver" localSheetId="0">CBC</definedName>
    <definedName name="OpenSolver_DualsNewSheet" localSheetId="0">0</definedName>
    <definedName name="OpenSolver_LinearityCheck" localSheetId="0">1</definedName>
    <definedName name="OpenSolver_UpdateSensitivity" localSheetId="0">1</definedName>
    <definedName name="solver_adj" localSheetId="0">#REF!</definedName>
    <definedName name="solver_cvg" localSheetId="0">0.0001</definedName>
    <definedName name="solver_drv" localSheetId="0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>#REF!</definedName>
    <definedName name="solver_lhs10" localSheetId="0">#REF!</definedName>
    <definedName name="solver_lhs11" localSheetId="0">#REF!</definedName>
    <definedName name="solver_lhs12" localSheetId="0">#REF!</definedName>
    <definedName name="solver_lhs13" localSheetId="0">#REF!</definedName>
    <definedName name="solver_lhs14" localSheetId="0">#REF!</definedName>
    <definedName name="solver_lhs15" localSheetId="0">#REF!</definedName>
    <definedName name="solver_lhs16" localSheetId="0">#REF!</definedName>
    <definedName name="solver_lhs17" localSheetId="0">#REF!</definedName>
    <definedName name="solver_lhs2" localSheetId="0">#REF!</definedName>
    <definedName name="solver_lhs3" localSheetId="0">#REF!</definedName>
    <definedName name="solver_lhs4" localSheetId="0">#REF!</definedName>
    <definedName name="solver_lhs5" localSheetId="0">#REF!</definedName>
    <definedName name="solver_lhs6" localSheetId="0">#REF!</definedName>
    <definedName name="solver_lhs7" localSheetId="0">#REF!</definedName>
    <definedName name="solver_lhs8" localSheetId="0">#REF!</definedName>
    <definedName name="solver_lhs9" localSheetId="0">#REF!</definedName>
    <definedName name="solver_mip" localSheetId="0">2147483647</definedName>
    <definedName name="solver_mni" localSheetId="0">30</definedName>
    <definedName name="solver_mrt" localSheetId="0">0.075</definedName>
    <definedName name="solver_msl" localSheetId="0">2</definedName>
    <definedName name="solver_neg" localSheetId="0" hidden="1">1</definedName>
    <definedName name="solver_nod" localSheetId="0">2147483647</definedName>
    <definedName name="solver_num" localSheetId="0">17</definedName>
    <definedName name="solver_nwt" localSheetId="0" hidden="1">1</definedName>
    <definedName name="solver_opt" localSheetId="0">#REF!</definedName>
    <definedName name="solver_pre" localSheetId="0" hidden="1">1</definedName>
    <definedName name="solver_rbv" localSheetId="0">1</definedName>
    <definedName name="solver_rel1" localSheetId="0">5</definedName>
    <definedName name="solver_rel10" localSheetId="0">1</definedName>
    <definedName name="solver_rel11" localSheetId="0">5</definedName>
    <definedName name="solver_rel12" localSheetId="0">5</definedName>
    <definedName name="solver_rel13" localSheetId="0">5</definedName>
    <definedName name="solver_rel14" localSheetId="0">5</definedName>
    <definedName name="solver_rel15" localSheetId="0">5</definedName>
    <definedName name="solver_rel16" localSheetId="0">5</definedName>
    <definedName name="solver_rel17" localSheetId="0">5</definedName>
    <definedName name="solver_rel2" localSheetId="0">5</definedName>
    <definedName name="solver_rel3" localSheetId="0">1</definedName>
    <definedName name="solver_rel4" localSheetId="0">5</definedName>
    <definedName name="solver_rel5" localSheetId="0">5</definedName>
    <definedName name="solver_rel6" localSheetId="0">5</definedName>
    <definedName name="solver_rel7" localSheetId="0">5</definedName>
    <definedName name="solver_rel8" localSheetId="0">5</definedName>
    <definedName name="solver_rel9" localSheetId="0">5</definedName>
    <definedName name="solver_rhs1" localSheetId="0">binary</definedName>
    <definedName name="solver_rhs10" localSheetId="0">#REF!</definedName>
    <definedName name="solver_rhs11" localSheetId="0">binary</definedName>
    <definedName name="solver_rhs12" localSheetId="0">binary</definedName>
    <definedName name="solver_rhs13" localSheetId="0">binary</definedName>
    <definedName name="solver_rhs14" localSheetId="0">binary</definedName>
    <definedName name="solver_rhs15" localSheetId="0">binary</definedName>
    <definedName name="solver_rhs16" localSheetId="0">binary</definedName>
    <definedName name="solver_rhs17" localSheetId="0">binary</definedName>
    <definedName name="solver_rhs2" localSheetId="0">binary</definedName>
    <definedName name="solver_rhs3" localSheetId="0">#REF!</definedName>
    <definedName name="solver_rhs4" localSheetId="0">binary</definedName>
    <definedName name="solver_rhs5" localSheetId="0">binary</definedName>
    <definedName name="solver_rhs6" localSheetId="0">binary</definedName>
    <definedName name="solver_rhs7" localSheetId="0">binary</definedName>
    <definedName name="solver_rhs8" localSheetId="0">binary</definedName>
    <definedName name="solver_rhs9" localSheetId="0">binary</definedName>
    <definedName name="solver_rlx" localSheetId="0">2</definedName>
    <definedName name="solver_rsd" localSheetId="0">0</definedName>
    <definedName name="solver_scl" localSheetId="0" hidden="1">2</definedName>
    <definedName name="solver_sho" localSheetId="0">2</definedName>
    <definedName name="solver_ssz" localSheetId="0">100</definedName>
    <definedName name="solver_tim" localSheetId="0" hidden="1">2147483647</definedName>
    <definedName name="solver_tol" localSheetId="0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N55" i="1" l="1"/>
  <c r="N229" i="1"/>
  <c r="N228" i="1"/>
  <c r="N227" i="1"/>
  <c r="N226" i="1"/>
  <c r="N224" i="1"/>
  <c r="N221" i="1"/>
  <c r="N220" i="1"/>
  <c r="N217" i="1"/>
  <c r="N216" i="1"/>
  <c r="N215" i="1"/>
  <c r="N214" i="1"/>
  <c r="N212" i="1"/>
  <c r="N209" i="1"/>
  <c r="N208" i="1"/>
  <c r="N207" i="1"/>
  <c r="N205" i="1"/>
  <c r="N203" i="1"/>
  <c r="N202" i="1"/>
  <c r="N201" i="1"/>
  <c r="N199" i="1"/>
  <c r="N197" i="1"/>
  <c r="N194" i="1"/>
  <c r="N193" i="1"/>
  <c r="O192" i="1"/>
  <c r="N192" i="1"/>
  <c r="N191" i="1"/>
  <c r="N190" i="1"/>
  <c r="N189" i="1"/>
  <c r="N188" i="1"/>
  <c r="N187" i="1"/>
  <c r="N186" i="1"/>
  <c r="N185" i="1"/>
  <c r="N184" i="1"/>
  <c r="N183" i="1"/>
  <c r="N181" i="1"/>
  <c r="N180" i="1"/>
  <c r="N179" i="1"/>
  <c r="N177" i="1"/>
  <c r="N176" i="1"/>
  <c r="N175" i="1"/>
  <c r="N174" i="1"/>
  <c r="N173" i="1"/>
  <c r="N159" i="1"/>
  <c r="N158" i="1"/>
  <c r="N157" i="1"/>
  <c r="N156" i="1"/>
  <c r="N154" i="1"/>
  <c r="N146" i="1"/>
  <c r="N110" i="1"/>
  <c r="N105" i="1"/>
  <c r="N98" i="1"/>
  <c r="N95" i="1"/>
  <c r="N88" i="1"/>
  <c r="N87" i="1"/>
  <c r="N86" i="1"/>
  <c r="N85" i="1"/>
  <c r="N83" i="1"/>
  <c r="N82" i="1"/>
  <c r="N81" i="1"/>
  <c r="N79" i="1"/>
  <c r="N78" i="1"/>
  <c r="N76" i="1"/>
  <c r="N75" i="1"/>
  <c r="N74" i="1"/>
  <c r="N73" i="1"/>
  <c r="N71" i="1"/>
  <c r="N70" i="1"/>
  <c r="N69" i="1"/>
  <c r="N68" i="1"/>
  <c r="N67" i="1"/>
  <c r="N66" i="1"/>
  <c r="N64" i="1"/>
  <c r="N63" i="1"/>
  <c r="N61" i="1"/>
  <c r="N60" i="1"/>
  <c r="N59" i="1"/>
  <c r="N58" i="1"/>
  <c r="T39" i="1"/>
  <c r="T33" i="1"/>
  <c r="U33" i="1" s="1"/>
  <c r="V33" i="1" s="1"/>
  <c r="T31" i="1"/>
  <c r="U31" i="1" s="1"/>
  <c r="T30" i="1"/>
  <c r="U30" i="1" s="1"/>
  <c r="V30" i="1" s="1"/>
  <c r="N15" i="1"/>
  <c r="N14" i="1"/>
  <c r="N13" i="1"/>
  <c r="N12" i="1"/>
  <c r="N11" i="1"/>
  <c r="N10" i="1"/>
  <c r="N9" i="1"/>
  <c r="N8" i="1"/>
  <c r="N7" i="1"/>
  <c r="N6" i="1"/>
  <c r="N3" i="1"/>
</calcChain>
</file>

<file path=xl/sharedStrings.xml><?xml version="1.0" encoding="utf-8"?>
<sst xmlns="http://schemas.openxmlformats.org/spreadsheetml/2006/main" count="481" uniqueCount="421">
  <si>
    <t>Módulo</t>
  </si>
  <si>
    <t>Pot</t>
  </si>
  <si>
    <t>Voc</t>
  </si>
  <si>
    <t>Vmp</t>
  </si>
  <si>
    <t>%</t>
  </si>
  <si>
    <t>Imp</t>
  </si>
  <si>
    <t>Icc</t>
  </si>
  <si>
    <t>sku_p</t>
  </si>
  <si>
    <t>disponivel_p</t>
  </si>
  <si>
    <t>Inversor</t>
  </si>
  <si>
    <t>Pnom</t>
  </si>
  <si>
    <t>Pmax</t>
  </si>
  <si>
    <t>Vmax</t>
  </si>
  <si>
    <t>Vmin</t>
  </si>
  <si>
    <t>sku_i</t>
  </si>
  <si>
    <t>disponivel_i</t>
  </si>
  <si>
    <t>Icc 1</t>
  </si>
  <si>
    <t>Icc 2</t>
  </si>
  <si>
    <t>Icc 3</t>
  </si>
  <si>
    <t>Icc 4</t>
  </si>
  <si>
    <t>Icc 5</t>
  </si>
  <si>
    <t>Icc 6</t>
  </si>
  <si>
    <t>Icc 7</t>
  </si>
  <si>
    <t>Icc 8</t>
  </si>
  <si>
    <t>Icc 9</t>
  </si>
  <si>
    <t>Icc 10</t>
  </si>
  <si>
    <t>Icc 11</t>
  </si>
  <si>
    <t>Icc 12</t>
  </si>
  <si>
    <t>Icc 13</t>
  </si>
  <si>
    <t>Icc 14</t>
  </si>
  <si>
    <t>Icc 15</t>
  </si>
  <si>
    <t>Imp 1</t>
  </si>
  <si>
    <t>Imp 2</t>
  </si>
  <si>
    <t>Imp 3</t>
  </si>
  <si>
    <t>Imp 4</t>
  </si>
  <si>
    <t>Imp 5</t>
  </si>
  <si>
    <t>Imp 6</t>
  </si>
  <si>
    <t>Imp 7</t>
  </si>
  <si>
    <t>Imp 8</t>
  </si>
  <si>
    <t>Imp 9</t>
  </si>
  <si>
    <t>Imp 10</t>
  </si>
  <si>
    <t>Imp 11</t>
  </si>
  <si>
    <t>Imp 12</t>
  </si>
  <si>
    <t>Imp 13</t>
  </si>
  <si>
    <t>Imp 14</t>
  </si>
  <si>
    <t>Imp 15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</si>
  <si>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</si>
  <si>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</si>
  <si>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</si>
  <si>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</si>
  <si>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</si>
  <si>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</si>
  <si>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</si>
  <si>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</si>
  <si>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</si>
  <si>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</si>
  <si>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</si>
  <si>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</si>
  <si>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</si>
  <si>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</si>
  <si>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</si>
  <si>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Auxsol ASG-6SL-ZL</t>
  </si>
  <si>
    <t>SIM</t>
  </si>
  <si>
    <t>Auxsol ASN-10.5SL-G2</t>
  </si>
  <si>
    <t>Auxsol ASN-10SL</t>
  </si>
  <si>
    <t>Auxsol ASN-15TL-G2 100%</t>
  </si>
  <si>
    <t>Auxsol ASN-15TL-G2 50%</t>
  </si>
  <si>
    <t>Auxsol ASN-15TL-LV</t>
  </si>
  <si>
    <t>Auxsol ASN-20TL 100%</t>
  </si>
  <si>
    <t>Auxsol ASN-20TL 50%</t>
  </si>
  <si>
    <t>Auxsol ASN-25TL 100%</t>
  </si>
  <si>
    <t>TCL 615W N-type Bifacial HSM-ND66-GR615 30mm</t>
  </si>
  <si>
    <t>Auxsol ASN-25TL 50%</t>
  </si>
  <si>
    <t>TRINA 620W BIFACIAL N-TYPE  (TSM-NEG19RC.20  30MM)</t>
  </si>
  <si>
    <t>Auxsol ASN-25TL-LV</t>
  </si>
  <si>
    <t>TRINA 625W BIFACIALN-TYPE (TSM-NEG19RC.20  30MM)</t>
  </si>
  <si>
    <t>Auxsol ASN-30TL-G2 100%</t>
  </si>
  <si>
    <t>Akcome 550 Mono - CHASER-M10/144P</t>
  </si>
  <si>
    <t>Auxsol ASN-30TL-G2 50%</t>
  </si>
  <si>
    <t>Canadian 370 poli - CS3U-370P</t>
  </si>
  <si>
    <t>Auxsol ASN-3SL</t>
  </si>
  <si>
    <t>Canadian 400 Poli - CS3W-P</t>
  </si>
  <si>
    <t>Auxsol ASN-40TL</t>
  </si>
  <si>
    <t>Canadian 405 Poli - CS3W-P</t>
  </si>
  <si>
    <t>Auxsol ASN-4SL-G2</t>
  </si>
  <si>
    <t>Canadian 420 Poli - CS3W-P</t>
  </si>
  <si>
    <t>Auxsol ASN-5SL-G2</t>
  </si>
  <si>
    <t>Canadian 435 Mono - CS3S-MS</t>
  </si>
  <si>
    <t>Auxsol ASN-6SL-G2</t>
  </si>
  <si>
    <t>Canadian 440 Mono - CS3S-MS</t>
  </si>
  <si>
    <t>Auxsol ASN-7.5SL</t>
  </si>
  <si>
    <t>Canadian 445 Mono - CS3S-MS</t>
  </si>
  <si>
    <t>Auxsol ASN-75TL-G2</t>
  </si>
  <si>
    <t>Canadian 450 Mono - CS3W-MS</t>
  </si>
  <si>
    <t>Auxsol ASN-75TL-LV-PLUS</t>
  </si>
  <si>
    <t>Canadian 455 Mono - CS3W-MS</t>
  </si>
  <si>
    <t>Canadian CSI-100K-TG400GL02-E</t>
  </si>
  <si>
    <t>Canadian 535 Mono - CS6W-MS</t>
  </si>
  <si>
    <t>Canadian CSI-110K-TG400GL02-E</t>
  </si>
  <si>
    <t>Consort 550W Bifacial - CST-M1072GDF</t>
  </si>
  <si>
    <t>Canadian CSI-15K-T400GL01-E*</t>
  </si>
  <si>
    <t>CS6W-550MS</t>
  </si>
  <si>
    <t>Canadian CSI-20K-T400GL01-E</t>
  </si>
  <si>
    <t>DAH 550 Mono - DHM-72X10</t>
  </si>
  <si>
    <t>Canadian CSI-20KTL-GI-LFL (220)</t>
  </si>
  <si>
    <t>DAH 610 Bifacial - DHN-66Z16</t>
  </si>
  <si>
    <t>Canadian CSI-250K-T800 1A-E</t>
  </si>
  <si>
    <t>DAH 700 Bifacial -  DHJ-66Y18DG</t>
  </si>
  <si>
    <t>Canadian CSI-25K-T220GL03-E</t>
  </si>
  <si>
    <t xml:space="preserve">DAH 700W BIFACIAL HJT DHJ-66Y24/DG </t>
  </si>
  <si>
    <t>Canadian CSI-25K-TG400GL02-E</t>
  </si>
  <si>
    <t>DAH Mono 440 - DHM-72L9</t>
  </si>
  <si>
    <t>Canadian CSI-25KTL-GI-L* (220)</t>
  </si>
  <si>
    <t>DAH Mono 540 - DHM-72X10</t>
  </si>
  <si>
    <t>Canadian CSI-30K-T220GL03-E</t>
  </si>
  <si>
    <t>DAH Mono 545 - DHM-72X10</t>
  </si>
  <si>
    <t>Canadian CSI-30K-TG400GL02-E</t>
  </si>
  <si>
    <t>DAH Mono 555 - DHM-72X10</t>
  </si>
  <si>
    <t>Canadian CSI-30KTL-GI-L (220)</t>
  </si>
  <si>
    <t>DAH Mono Bifacial 450W DHM-72L9/BF</t>
  </si>
  <si>
    <t>Canadian CSI-3K-S22002-ED</t>
  </si>
  <si>
    <t>DAH Poli 360 - HCP72X9</t>
  </si>
  <si>
    <t>Canadian CSI-50KTL-GI</t>
  </si>
  <si>
    <t>DAH Poli 400 - HCP78X9</t>
  </si>
  <si>
    <t>Canadian CSI-5K-22002-ED</t>
  </si>
  <si>
    <t>DMEGC 560W - DM560M10-72HSWHBW (P-Type) Monofacial</t>
  </si>
  <si>
    <t>Canadian CSI-5K-S22002-E</t>
  </si>
  <si>
    <t>DMEGC 585W - DM585M10T-B72HSW (N-Type) Bifacial</t>
  </si>
  <si>
    <t>Canadian CSI-5KTL1P-FL*</t>
  </si>
  <si>
    <t>EGING PV 610W BIFACIAL N-TYPE TOPCON (EG-NT66-HRc/BF-DG 30MM)</t>
  </si>
  <si>
    <t>Canadian CSI-60KTL-GI*</t>
  </si>
  <si>
    <t>ERA 590W Pro-72HD(CF)</t>
  </si>
  <si>
    <t>Canadian CSI-75K-T400GL02-E</t>
  </si>
  <si>
    <t>GCL Mono 375W</t>
  </si>
  <si>
    <t>Canadian CSI-7K-S22002-E</t>
  </si>
  <si>
    <t>GCL Mono 400W</t>
  </si>
  <si>
    <t>Canadian CSI-7K-S22002-ED*</t>
  </si>
  <si>
    <t>GK-2-66HJBD-700M</t>
  </si>
  <si>
    <t>Canadian CSI-8KTL1P-GI-FL*</t>
  </si>
  <si>
    <t>Gokin 570 - GK-1-72HT 570 (N-type)</t>
  </si>
  <si>
    <t>Canadian CSI-9K-S22002-E</t>
  </si>
  <si>
    <t>Gokin 585W - GK-1-72HTBD (N-type)</t>
  </si>
  <si>
    <t>GE 3.6</t>
  </si>
  <si>
    <t>HAITAI 590W - HTM5900DMH5-72</t>
  </si>
  <si>
    <t>GE 5.0</t>
  </si>
  <si>
    <t>Hanersun 585W - HN18N-72H585W</t>
  </si>
  <si>
    <t>GE 7.0</t>
  </si>
  <si>
    <t>Hanersun 610W - HN21RN-66HT610W (N-Type) Bifacial</t>
  </si>
  <si>
    <t>GE 9.0</t>
  </si>
  <si>
    <t>Hanersun 670W - HN21-66HT670W (Bifacial)</t>
  </si>
  <si>
    <t>Growatt 8000MTL-S</t>
  </si>
  <si>
    <t>Hanersun 690W - HN21N-66HT (N-Type) Bifacial</t>
  </si>
  <si>
    <t>Growatt MID 17KTL3-X</t>
  </si>
  <si>
    <t>Hanersun 700 Bifacial -  HN21H-66HT</t>
  </si>
  <si>
    <t>Growatt MID 25</t>
  </si>
  <si>
    <t>Hanersun 700W - HN21N-66HT700W</t>
  </si>
  <si>
    <t>Growatt MIN 4200TL-X</t>
  </si>
  <si>
    <t>HYSOLAR 600W BIFACIAL N-TYPE (HY-NT10/72GDF 30MM)</t>
  </si>
  <si>
    <t>Hoymiles HIS-6L-G3</t>
  </si>
  <si>
    <t>HYSOLAR 610W - HY-NT11/66GDF</t>
  </si>
  <si>
    <t>Hoymiles HYS-7.5LV-USG1</t>
  </si>
  <si>
    <t>HYSOLAR 615 BF TC AL 30 (HY-NT11/66GDF)</t>
  </si>
  <si>
    <t>Huawei SUN2000-100KTL-M2</t>
  </si>
  <si>
    <t>JETION 700W BIFACIAL HJT (JT710SLkB 35MM)</t>
  </si>
  <si>
    <r>
      <rPr>
        <sz val="11"/>
        <color theme="1"/>
        <rFont val="Calibri"/>
        <family val="2"/>
      </rPr>
      <t xml:space="preserve">Huawei SUN2000-100KTL-M2 </t>
    </r>
    <r>
      <rPr>
        <b/>
        <sz val="11"/>
        <color theme="1"/>
        <rFont val="Calibri"/>
        <family val="2"/>
      </rPr>
      <t>50%</t>
    </r>
  </si>
  <si>
    <t>Jinko - JMPV- X1/72-560</t>
  </si>
  <si>
    <t>Huawei SUN2000-10K-LCO</t>
  </si>
  <si>
    <t>Jinko 310 JKM310P</t>
  </si>
  <si>
    <r>
      <rPr>
        <sz val="11"/>
        <color theme="1"/>
        <rFont val="Calibri"/>
        <family val="2"/>
      </rPr>
      <t xml:space="preserve">Huawei SUN2000-10K-LCO </t>
    </r>
    <r>
      <rPr>
        <b/>
        <sz val="11"/>
        <color theme="1"/>
        <rFont val="Calibri"/>
        <family val="2"/>
      </rPr>
      <t>50%</t>
    </r>
  </si>
  <si>
    <t xml:space="preserve">Leapton Bifacial 585W - LP182-M-72-NB </t>
  </si>
  <si>
    <t>Huawei SUN2000-12K-MB0</t>
  </si>
  <si>
    <t>Leapton Mono 460</t>
  </si>
  <si>
    <t>Huawei SUN2000-15KTL-M5</t>
  </si>
  <si>
    <t>Leapton Mono 550 - LP182*182-M</t>
  </si>
  <si>
    <r>
      <rPr>
        <sz val="11"/>
        <color theme="1"/>
        <rFont val="Calibri"/>
        <family val="2"/>
      </rPr>
      <t xml:space="preserve">Huawei SUN2000-15KTL-M5 </t>
    </r>
    <r>
      <rPr>
        <b/>
        <sz val="11"/>
        <color theme="1"/>
        <rFont val="Calibri"/>
        <family val="2"/>
      </rPr>
      <t>50%</t>
    </r>
  </si>
  <si>
    <t>Leapton Mono 560 - LP182.182-M-72-MH (P-Type)</t>
  </si>
  <si>
    <t>Huawei SUN2000-20KTL-BRM3</t>
  </si>
  <si>
    <t>Leapton Mono 560 - LP182.199-M-66-NH (N-Type)</t>
  </si>
  <si>
    <t>Huawei SUN2000-20KTL-M5</t>
  </si>
  <si>
    <t xml:space="preserve">Leapton Mono 580W - LP182-M-72-NB </t>
  </si>
  <si>
    <r>
      <rPr>
        <sz val="11"/>
        <color theme="1"/>
        <rFont val="Calibri"/>
        <family val="2"/>
      </rPr>
      <t xml:space="preserve">Huawei SUN2000-20KTL-M5 </t>
    </r>
    <r>
      <rPr>
        <b/>
        <sz val="11"/>
        <color theme="1"/>
        <rFont val="Calibri"/>
        <family val="2"/>
      </rPr>
      <t>50%</t>
    </r>
  </si>
  <si>
    <t>Leapton Mono 585 - LP182.199-M-66-NH (N-Type) Monofacial</t>
  </si>
  <si>
    <t>Huawei SUN2000-250KTL-H1</t>
  </si>
  <si>
    <t>Leapton Mono 590 - LP182.182-M-78-MH (P-Type)</t>
  </si>
  <si>
    <r>
      <rPr>
        <sz val="11"/>
        <color theme="1"/>
        <rFont val="Calibri"/>
        <family val="2"/>
      </rPr>
      <t xml:space="preserve">Huawei SUN2000-250KTL-H1 </t>
    </r>
    <r>
      <rPr>
        <b/>
        <sz val="11"/>
        <color theme="1"/>
        <rFont val="Calibri"/>
        <family val="2"/>
      </rPr>
      <t>50%</t>
    </r>
  </si>
  <si>
    <t>Leapton Mono 590 - LP182.199-M-66-NH (N-Type)</t>
  </si>
  <si>
    <t>Huawei SUN2000-25KTL-M5</t>
  </si>
  <si>
    <t>Leapton Mono 595 - LP182.182-M-72-NH (N-Type)</t>
  </si>
  <si>
    <r>
      <rPr>
        <sz val="11"/>
        <color theme="1"/>
        <rFont val="Calibri"/>
        <family val="2"/>
      </rPr>
      <t xml:space="preserve">Huawei SUN2000-25KTL-M5 </t>
    </r>
    <r>
      <rPr>
        <b/>
        <sz val="11"/>
        <color theme="1"/>
        <rFont val="Calibri"/>
        <family val="2"/>
      </rPr>
      <t>50%</t>
    </r>
  </si>
  <si>
    <t>Leapton Mono 610 - LP182.210-M-66-NB (N-Type) Bifacial</t>
  </si>
  <si>
    <t>Huawei SUN2000-30KTL-M3</t>
  </si>
  <si>
    <t>Leapton Mono 610 - LP182.210-M-66-NH (N-Type) Monofacial</t>
  </si>
  <si>
    <t>Huawei SUN2000-3KTL-L1</t>
  </si>
  <si>
    <t>Leapton Mono 650 - LP210*210-M-66-MH</t>
  </si>
  <si>
    <r>
      <rPr>
        <sz val="11"/>
        <color theme="1"/>
        <rFont val="Calibri"/>
        <family val="2"/>
      </rPr>
      <t xml:space="preserve">Huawei SUN2000-3KTL-L1 </t>
    </r>
    <r>
      <rPr>
        <b/>
        <sz val="11"/>
        <color theme="1"/>
        <rFont val="Calibri"/>
        <family val="2"/>
      </rPr>
      <t>50%</t>
    </r>
  </si>
  <si>
    <t>Leapton Mono 665 - LP210-M-66-MH</t>
  </si>
  <si>
    <t>Huawei SUN2000-4KTL-L1</t>
  </si>
  <si>
    <t>Leapton Mono 670 - LP210-M-66-MB 670W (P-Type) Bifacia</t>
  </si>
  <si>
    <t>Leapton Mono 700 - LP210-M-66-NB (N-Type) Bifacial</t>
  </si>
  <si>
    <t>Huawei SUN2000-50KTL-M3</t>
  </si>
  <si>
    <t>Leapton Panther 570 - LP182.199-M-66-NH (N-Type) Monofacial</t>
  </si>
  <si>
    <t>Huawei SUN2000-5KTL-L1</t>
  </si>
  <si>
    <t>Leapton Panther 585 - LP182.199-M-66-NH (N-Type) Monofacial</t>
  </si>
  <si>
    <r>
      <rPr>
        <sz val="11"/>
        <color theme="1"/>
        <rFont val="Calibri"/>
        <family val="2"/>
      </rPr>
      <t xml:space="preserve">Huawei SUN2000-5KTL-L1 </t>
    </r>
    <r>
      <rPr>
        <b/>
        <sz val="11"/>
        <color theme="1"/>
        <rFont val="Calibri"/>
        <family val="2"/>
      </rPr>
      <t>50%</t>
    </r>
  </si>
  <si>
    <t>Leapton Panther 620 - LP182.199-M-72-NB (N-Type) Bifacial</t>
  </si>
  <si>
    <t>Huawei SUN2000-60KTL-M0 100%</t>
  </si>
  <si>
    <t>Leapton Panther 620 - LP182.210-M-66-NB (N-Type) Bifacial (Novo)</t>
  </si>
  <si>
    <t>Huawei SUN2000-6KTL-L1</t>
  </si>
  <si>
    <t>Leapton Panther 620 - LP182.210-M-66-NH</t>
  </si>
  <si>
    <r>
      <rPr>
        <sz val="11"/>
        <color theme="1"/>
        <rFont val="Calibri"/>
        <family val="2"/>
      </rPr>
      <t xml:space="preserve">Huawei SUN2000-6KTL-L1 </t>
    </r>
    <r>
      <rPr>
        <b/>
        <sz val="11"/>
        <color theme="1"/>
        <rFont val="Calibri"/>
        <family val="2"/>
      </rPr>
      <t>50%</t>
    </r>
  </si>
  <si>
    <t>Leapton Panther 690 - LP210.210-M-66-NB (N-Type) Bifacial</t>
  </si>
  <si>
    <t>Huawei SUN2000-7.5K-LC0</t>
  </si>
  <si>
    <t>Longi LR4-72HBD 445M</t>
  </si>
  <si>
    <t>Huawei SUN2000-75K-MGL0-BR</t>
  </si>
  <si>
    <t>Longi LR4-72HBD 450M</t>
  </si>
  <si>
    <t>Huawei SUN2000-75KTL-M1</t>
  </si>
  <si>
    <t>Longi LR4-72HBD 455M</t>
  </si>
  <si>
    <r>
      <rPr>
        <sz val="11"/>
        <color theme="1"/>
        <rFont val="Calibri"/>
        <family val="2"/>
      </rPr>
      <t xml:space="preserve">Huawei SUN2000-75KTL-M1 </t>
    </r>
    <r>
      <rPr>
        <b/>
        <sz val="11"/>
        <color theme="1"/>
        <rFont val="Calibri"/>
        <family val="2"/>
      </rPr>
      <t>50%</t>
    </r>
  </si>
  <si>
    <t>Longi Mono 440 - LR4-72HPH</t>
  </si>
  <si>
    <t>Huawei SUN2000-8K-LCO</t>
  </si>
  <si>
    <t>Osda 555 - ODA555-36V-MH</t>
  </si>
  <si>
    <r>
      <rPr>
        <sz val="11"/>
        <color theme="1"/>
        <rFont val="Calibri"/>
        <family val="2"/>
      </rPr>
      <t xml:space="preserve">Huawei SUN2000-8K-LCO </t>
    </r>
    <r>
      <rPr>
        <b/>
        <sz val="11"/>
        <color theme="1"/>
        <rFont val="Calibri"/>
        <family val="2"/>
      </rPr>
      <t>50%</t>
    </r>
  </si>
  <si>
    <t>Osda 610 - ODA610-33VR-MH</t>
  </si>
  <si>
    <t>Hyxipower HYX-S3.6K-S</t>
  </si>
  <si>
    <t>Osda 610W - ODA610-36VR-MHD (N-Type) Bifacial</t>
  </si>
  <si>
    <t>Hyxipower HYX-S5K-S</t>
  </si>
  <si>
    <t>Osda ODA460-30V-MH</t>
  </si>
  <si>
    <t>Hyxipower HYX-S6K-S</t>
  </si>
  <si>
    <t>RENEPV 605W - ZYG12RNHB-132/F</t>
  </si>
  <si>
    <t>Hyxipower HYX-S7.3K-S</t>
  </si>
  <si>
    <t>Renepv 700 Mono - ZY-G12HN-66</t>
  </si>
  <si>
    <t>Leapton S1X-5K1P-Y</t>
  </si>
  <si>
    <t>Renesola 560W - RS560-560M-E3</t>
  </si>
  <si>
    <t>Leapton S1X-7.5K1P-Y</t>
  </si>
  <si>
    <t>Resun Mono 545 RS8I-M</t>
  </si>
  <si>
    <t>Livoltek GT1 2K2S1</t>
  </si>
  <si>
    <t>Risen 700 Bifacial -  RSM132-8-700-715BHDG</t>
  </si>
  <si>
    <t>Livoltek GT1-10K-D</t>
  </si>
  <si>
    <t>Ronma - 570 - RM-600W-182M.144TB (N-Type Bifacial)</t>
  </si>
  <si>
    <t>Livoltek GT1-10KT2</t>
  </si>
  <si>
    <t>Livoltek GT1-3K3S1</t>
  </si>
  <si>
    <t>Ronma - 585 - RM-585W-182M.144TB (N-Type Bifacial)</t>
  </si>
  <si>
    <t>Livoltek GT1-3K-S*</t>
  </si>
  <si>
    <t>Ronma 700W - RM‑700W‑210M/132HB (N-Type Bifacial)</t>
  </si>
  <si>
    <t>Livoltek GT1-3K-SS</t>
  </si>
  <si>
    <t>Runergy 550W - HY-DH144P8-550W (Bifacial)</t>
  </si>
  <si>
    <t>Livoltek GT1-5K-D*</t>
  </si>
  <si>
    <t>Runergy 550W - HY-WH144P8-550W (Monofacial)</t>
  </si>
  <si>
    <t>Livoltek GT1-5KD2</t>
  </si>
  <si>
    <t>Solargiga 560 Mono - JMPV-X1 72</t>
  </si>
  <si>
    <t>Livoltek GT1-5K-DS</t>
  </si>
  <si>
    <t>Sunova Mono 505 - SS-505-66MTF</t>
  </si>
  <si>
    <t>Livoltek GT1-6K-D*</t>
  </si>
  <si>
    <t>Ulica 450 Mono - UL-450M-144</t>
  </si>
  <si>
    <t>Livoltek GT1-6KD1</t>
  </si>
  <si>
    <t>Ulica 550 Mono - UL-550M-144HV</t>
  </si>
  <si>
    <t>Livoltek GT1-6KD2</t>
  </si>
  <si>
    <t>Ulica Mono 440 - UL-440M-144HV</t>
  </si>
  <si>
    <t>Livoltek GT1-6K-DS</t>
  </si>
  <si>
    <t>Ulica Mono 505 - UL-505M-132HV</t>
  </si>
  <si>
    <t>Livoltek GT1-7K5T2</t>
  </si>
  <si>
    <t>Vsun 545 Mono - 144MH</t>
  </si>
  <si>
    <t>Livoltek GT1-8K-D</t>
  </si>
  <si>
    <t xml:space="preserve"> TCL 640W - HSM-ND78-GF</t>
  </si>
  <si>
    <t>Livoltek GT1-8KT1</t>
  </si>
  <si>
    <t>Gokin 620W - GK-4-66HTBD-620M-F</t>
  </si>
  <si>
    <t>Livoltek GT1-8KT2</t>
  </si>
  <si>
    <t>Livoltek GT3-25-D*</t>
  </si>
  <si>
    <t>Livoltek GT3-30-D*</t>
  </si>
  <si>
    <t>Livoltek Off Grid GF1-3k48L1</t>
  </si>
  <si>
    <t>Livoltek Off Grid GF1-5K48S1</t>
  </si>
  <si>
    <t>Nansen ASN-30TL-LV-G2</t>
  </si>
  <si>
    <t>Nansen ASN-30TL-LV-G2 50%</t>
  </si>
  <si>
    <t>Nansen ASN-50TL-G2</t>
  </si>
  <si>
    <t>Nansen ASN-6SL-PLUS</t>
  </si>
  <si>
    <t>Nansen-15TL-LV</t>
  </si>
  <si>
    <t>Nansen-20TL</t>
  </si>
  <si>
    <t>Nansen-20TL-LV</t>
  </si>
  <si>
    <t>Nansen-25TL</t>
  </si>
  <si>
    <t>Nansen-25TL-LV</t>
  </si>
  <si>
    <t>Nansen-30TL</t>
  </si>
  <si>
    <t>Nansen-75TL-LV-PLUS</t>
  </si>
  <si>
    <t>R5-17K-T2</t>
  </si>
  <si>
    <t>SMA STP 25000</t>
  </si>
  <si>
    <t>SMA STP 50-40</t>
  </si>
  <si>
    <t>SMA STP110-60</t>
  </si>
  <si>
    <t>SMA Sunny Tripower X 25</t>
  </si>
  <si>
    <t>Solax - All in one 15K X3-IES-15K</t>
  </si>
  <si>
    <t>SolaX - Híbrido 15K X3-Hybrid-15.0-D</t>
  </si>
  <si>
    <t>SolaX - Híbrido 5K X1-HYB-5.0-LV</t>
  </si>
  <si>
    <t>SolaX - Híbrido 7,5K X1-Hybrid-7.5-D</t>
  </si>
  <si>
    <t>SolaX - X3-AELIO-60K</t>
  </si>
  <si>
    <t>SOLAX 10KW M220 HIBRIDO (X1-LITE-10K-LV)</t>
  </si>
  <si>
    <t>SOLAX 12KW T220 HIBRIDO (X3-NEO-12K-LV)</t>
  </si>
  <si>
    <t>SOLAX 15KW T220 HIBRIDO (X3-NEO-15K-LV)</t>
  </si>
  <si>
    <t>SOLAX 20KW T220 HIBRIDO (X3-NEO-20K-LV)</t>
  </si>
  <si>
    <t>SOLAX 6KW M220 HIBRIDO (X1-HYB-6.0-LV)</t>
  </si>
  <si>
    <t>Solis 110K 5G</t>
  </si>
  <si>
    <t>Solis 110K 5G-PRO</t>
  </si>
  <si>
    <t>Solis 125K-EHV-5G</t>
  </si>
  <si>
    <t>Solis 15K-4G</t>
  </si>
  <si>
    <t>Solis 1P7.7K-5G</t>
  </si>
  <si>
    <t>Solis 1P7K-5G</t>
  </si>
  <si>
    <t>Solis 25K 5G</t>
  </si>
  <si>
    <t>Solis 30K 5G</t>
  </si>
  <si>
    <t>Solis 50K</t>
  </si>
  <si>
    <t>Solis 60K-4G</t>
  </si>
  <si>
    <t>Solis 75K 5G</t>
  </si>
  <si>
    <t>Solis 75K 5G-PRO</t>
  </si>
  <si>
    <r>
      <rPr>
        <sz val="11"/>
        <color theme="1"/>
        <rFont val="Calibri"/>
        <family val="2"/>
      </rPr>
      <t xml:space="preserve">Solis 75K 5G-PRO </t>
    </r>
    <r>
      <rPr>
        <b/>
        <sz val="11"/>
        <color theme="1"/>
        <rFont val="Calibri"/>
        <family val="2"/>
      </rPr>
      <t>com 50%</t>
    </r>
  </si>
  <si>
    <t>Solis 8K 4G</t>
  </si>
  <si>
    <t>Solis S5-GC 37,5K</t>
  </si>
  <si>
    <r>
      <rPr>
        <sz val="11"/>
        <color theme="1"/>
        <rFont val="Calibri"/>
        <family val="2"/>
      </rPr>
      <t xml:space="preserve">Solis S5-GC 37,5K </t>
    </r>
    <r>
      <rPr>
        <b/>
        <sz val="11"/>
        <color theme="1"/>
        <rFont val="Calibri"/>
        <family val="2"/>
      </rPr>
      <t>com 50%</t>
    </r>
  </si>
  <si>
    <t>Solis S5-GC 60K</t>
  </si>
  <si>
    <r>
      <rPr>
        <sz val="11"/>
        <color theme="1"/>
        <rFont val="Calibri"/>
        <family val="2"/>
      </rPr>
      <t xml:space="preserve">Solis S5-GC 60K </t>
    </r>
    <r>
      <rPr>
        <b/>
        <sz val="11"/>
        <color theme="1"/>
        <rFont val="Calibri"/>
        <family val="2"/>
      </rPr>
      <t>com 50%</t>
    </r>
  </si>
  <si>
    <t>Solis S5-GC25K</t>
  </si>
  <si>
    <t>Solis S5-GC30K-LV</t>
  </si>
  <si>
    <t>Solis S5-GC50K</t>
  </si>
  <si>
    <t>Solis S5-GR3P-20K</t>
  </si>
  <si>
    <t>Solis S6-GC100K</t>
  </si>
  <si>
    <t>Solis S6-GC75K-LV</t>
  </si>
  <si>
    <t>Solis S6-GR1P5K</t>
  </si>
  <si>
    <t>Solis S6-GR1P5K-S</t>
  </si>
  <si>
    <t>Solis-1P5K-4G</t>
  </si>
  <si>
    <t>Solis-60K-LV-5G-PRO</t>
  </si>
  <si>
    <t>Solis-60K-LV-5G-PRO (C/ CONECTOR "Y")</t>
  </si>
  <si>
    <t>Solis-75K-LV-5G-PRO</t>
  </si>
  <si>
    <r>
      <rPr>
        <sz val="11"/>
        <color theme="1"/>
        <rFont val="Calibri"/>
        <family val="2"/>
      </rPr>
      <t xml:space="preserve">Solis-75K-LV-5G-PRO </t>
    </r>
    <r>
      <rPr>
        <b/>
        <sz val="11"/>
        <color theme="1"/>
        <rFont val="Calibri"/>
        <family val="2"/>
      </rPr>
      <t>(C/ CONECTOR "Y")</t>
    </r>
  </si>
  <si>
    <t>Solplanet  ASW 50K-UT-G3</t>
  </si>
  <si>
    <t>Solplanet ASW 10000-S</t>
  </si>
  <si>
    <t>Solplanet ASW 12K-LT-G2-Pro</t>
  </si>
  <si>
    <t>Solplanet ASW 15K-LT-G2 (PRO)</t>
  </si>
  <si>
    <t>Solplanet ASW 15K-UT-G3 (220)</t>
  </si>
  <si>
    <t>Solplanet ASW 17K-LT-G2 Pro</t>
  </si>
  <si>
    <t>Solplanet ASW 17K-LT-G2.5</t>
  </si>
  <si>
    <t>Solplanet ASW 20K-LT-G2 (PRO)</t>
  </si>
  <si>
    <t>Solplanet ASW 20K-UT-G3 (220)</t>
  </si>
  <si>
    <t>Solplanet ASW 250K-HT</t>
  </si>
  <si>
    <t>Solplanet ASW 25K-LT-G2 Pro</t>
  </si>
  <si>
    <t>Solplanet ASW 25K-UT-G3 (220)</t>
  </si>
  <si>
    <t>Solplanet ASW 30K LT-G3</t>
  </si>
  <si>
    <t>Solplanet ASW 30K-UT-G3 (220)</t>
  </si>
  <si>
    <t>Solplanet ASW 33K-LT-G3</t>
  </si>
  <si>
    <t>Solplanet ASW 36K-LT-G3</t>
  </si>
  <si>
    <t>Solplanet ASW 36K-UT-G3 (220)</t>
  </si>
  <si>
    <t>Solplanet ASW 37,5K-UT-G3 (220)</t>
  </si>
  <si>
    <t>Solplanet ASW 4000-S</t>
  </si>
  <si>
    <t>Solplanet ASW 40K LT-G3</t>
  </si>
  <si>
    <t>SolPlanet ASW 5000-S</t>
  </si>
  <si>
    <t>Solplanet ASW 50K LT-G2</t>
  </si>
  <si>
    <t>SolPlanet ASW 7300-S</t>
  </si>
  <si>
    <t>SolPlanet ASW 7500-S</t>
  </si>
  <si>
    <t>Solplanet ASW 8000-S</t>
  </si>
  <si>
    <t>SolPlanet ASW 9100-S</t>
  </si>
  <si>
    <t>Solplanet ASW110K-LT</t>
  </si>
  <si>
    <t>Solplanet ASW12KH-T2 (Híbrido)</t>
  </si>
  <si>
    <t>Solplanet ASW3000-S-G2</t>
  </si>
  <si>
    <t xml:space="preserve">Solplanet ASW37.5K-UT-G3 </t>
  </si>
  <si>
    <t>SolPlanet ASW4000-S-G2</t>
  </si>
  <si>
    <t>Solplanet ASW5000H-S2 (Híbrido)</t>
  </si>
  <si>
    <t>SolPlanet ASW5000-S-G2</t>
  </si>
  <si>
    <t>Solplanet ASW6000H-S2 (Híbrido)</t>
  </si>
  <si>
    <t>Solplanet ASW6000-S-G2</t>
  </si>
  <si>
    <t>Solplanet ASW60K-LT-G3</t>
  </si>
  <si>
    <t>Solplanet ASW75K-LT</t>
  </si>
  <si>
    <t>Solplanet ASW75K-UT-G3</t>
  </si>
  <si>
    <t>SRNE ASF4880U180-H</t>
  </si>
  <si>
    <t>Sungrow SG10RS-L2</t>
  </si>
  <si>
    <t>Sungrow SG110CX 100%</t>
  </si>
  <si>
    <t>Sungrow SG110CX-P2</t>
  </si>
  <si>
    <t>Sungrow SG12RT-P2</t>
  </si>
  <si>
    <t>Sungrow SG15RT-P2</t>
  </si>
  <si>
    <t>Sungrow SG20RT-P2</t>
  </si>
  <si>
    <t>Sungrow SG250HX 100%</t>
  </si>
  <si>
    <t>Sungrow SG25CX-AS</t>
  </si>
  <si>
    <t>Sungrow SG25CX-P2</t>
  </si>
  <si>
    <t>Sungrow SG30CX-P2</t>
  </si>
  <si>
    <t>Sungrow SG333HX 100%</t>
  </si>
  <si>
    <t>Sungrow SG350HX 100%</t>
  </si>
  <si>
    <t>Sungrow SG36CX-P2</t>
  </si>
  <si>
    <t>Sungrow SG40CX-P2</t>
  </si>
  <si>
    <t>Sungrow SG5.0RS-L2</t>
  </si>
  <si>
    <t>Sungrow SG50CX-P2-LV</t>
  </si>
  <si>
    <t>Sungrow SG6.0RS-L2</t>
  </si>
  <si>
    <t>Sungrow SG7.5RS-L2</t>
  </si>
  <si>
    <t>Sungrow SG75CX 100%</t>
  </si>
  <si>
    <t>Sungrow SG75CX-P2</t>
  </si>
  <si>
    <t xml:space="preserve"> </t>
  </si>
  <si>
    <t>Growatt MIN 6000TL-X</t>
  </si>
  <si>
    <t>MAXEON 415 MF PE AL 40 - SPR-MAX3415-BLK-R</t>
  </si>
  <si>
    <t xml:space="preserve"> Maxeon 530W BIFACIAL - SPR-P6-530-UPP (P-Type)</t>
  </si>
  <si>
    <t xml:space="preserve"> Maxeon 535W BIFACIAL - SPR-P6-535-UPP (P-Type)</t>
  </si>
  <si>
    <t>DAH 710W BF TC FG 33 (DHN-66Y18/DG)</t>
  </si>
  <si>
    <t xml:space="preserve">ERA 710W Eagle Pro-66HD（CF） </t>
  </si>
  <si>
    <t>GOKIN 615W BIFACIAL N-TYPE (GK-4-66HTBD-615M-F 30MM)</t>
  </si>
  <si>
    <t>RENEPV 620 BF TC FG 30 (ZY-G12RNHB-132)</t>
  </si>
  <si>
    <t xml:space="preserve">RENEPV 620W - ZYG12RNHB132   </t>
  </si>
  <si>
    <t>Ronma 610W - RM-600-630W-182R132TB</t>
  </si>
  <si>
    <t>SolarSpace 590W - SS8-72HD -590N (N-Type Bifacial)</t>
  </si>
  <si>
    <t>HYSOLAR 610 BF TC AL 30 (NT10-72GDF)</t>
  </si>
  <si>
    <t xml:space="preserve">213700	</t>
  </si>
  <si>
    <t>OSDA 620 MF TC AL 30 (33VMHDRZ)</t>
  </si>
  <si>
    <t xml:space="preserve">215047	</t>
  </si>
  <si>
    <t>40.50</t>
  </si>
  <si>
    <t>48.50</t>
  </si>
  <si>
    <t>15.07</t>
  </si>
  <si>
    <t>15.88</t>
  </si>
  <si>
    <t>40.74</t>
  </si>
  <si>
    <t>49.08</t>
  </si>
  <si>
    <t>15.22</t>
  </si>
  <si>
    <t>16.08</t>
  </si>
  <si>
    <t>Hanersun 710W - HN21N-66HT710W</t>
  </si>
  <si>
    <t>BYD 610 BF TC AL 35 (BYD610TUI66T)</t>
  </si>
  <si>
    <t xml:space="preserve">229366	</t>
  </si>
  <si>
    <t>SUNGROW 40KW T380 (SG40CX-P2) AFCI G</t>
  </si>
  <si>
    <t>KEHUA 50KW T380 ON (SPI50K-B) G</t>
  </si>
  <si>
    <t>KEHUA 100KW T380 ON (SPI100K-B) G</t>
  </si>
  <si>
    <t>NANSEN 50KW T380 (ASN-50TL-G2) G</t>
  </si>
  <si>
    <t>SUNGROW 40KW T380 (SG40CX-P2) G</t>
  </si>
  <si>
    <t xml:space="preserve">206206	</t>
  </si>
  <si>
    <t xml:space="preserve">206195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</si>
</sst>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indexed="65"/>
      <name val="Calibri"/>
      <family val="2"/>
    </font>
    <font>
      <sz val="11"/>
      <color theme="1"/>
      <name val="Calibri"/>
      <family val="2"/>
    </font>
    <font>
      <sz val="11"/>
      <color indexed="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7"/>
        <bgColor theme="7"/>
      </patternFill>
    </fill>
    <fill>
      <patternFill patternType="solid">
        <fgColor rgb="FF7030A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4" borderId="0" xfId="0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quotePrefix="1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left" wrapText="1"/>
    </xf>
    <xf numFmtId="0" fontId="3" fillId="6" borderId="0" xfId="0" applyFont="1" applyFill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5" borderId="0" xfId="0" applyNumberFormat="1" applyFon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0" fontId="0" fillId="0" borderId="3" xfId="0" applyBorder="1" applyAlignment="1">
      <alignment horizontal="left"/>
    </xf>
    <xf numFmtId="0" fontId="0" fillId="8" borderId="0" xfId="0" applyFill="1" applyAlignment="1">
      <alignment horizontal="left"/>
    </xf>
    <xf numFmtId="3" fontId="3" fillId="0" borderId="0" xfId="0" applyNumberFormat="1" applyFont="1" applyAlignment="1">
      <alignment horizontal="left"/>
    </xf>
    <xf numFmtId="0" fontId="6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76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MPPT-style" pivot="0" count="3" xr9:uid="{00000000-0011-0000-FFFF-FFFF00000000}">
      <tableStyleElement type="headerRow" dxfId="75"/>
      <tableStyleElement type="firstRowStripe" dxfId="74"/>
      <tableStyleElement type="secondRowStripe" dxfId="73"/>
    </tableStyle>
    <tableStyle name="MPPT-style 2" pivot="0" count="3" xr9:uid="{00000000-0011-0000-FFFF-FFFF01000000}">
      <tableStyleElement type="headerRow" dxfId="72"/>
      <tableStyleElement type="firstRowStripe" dxfId="71"/>
      <tableStyleElement type="secondRowStripe" dxfId="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1724025" cy="27622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J208" headerRowDxfId="69" dataDxfId="68" totalsRowDxfId="67">
  <autoFilter ref="B2:J208" xr:uid="{00000000-0009-0000-0100-000001000000}"/>
  <sortState xmlns:xlrd2="http://schemas.microsoft.com/office/spreadsheetml/2017/richdata2" ref="B3:J208">
    <sortCondition ref="J2:J208"/>
  </sortState>
  <tableColumns count="9">
    <tableColumn id="1" xr3:uid="{00000000-0010-0000-0000-000001000000}" name="Módulo" dataDxfId="66"/>
    <tableColumn id="2" xr3:uid="{00000000-0010-0000-0000-000002000000}" name="Pot" dataDxfId="65"/>
    <tableColumn id="3" xr3:uid="{00000000-0010-0000-0000-000003000000}" name="Voc" dataDxfId="64"/>
    <tableColumn id="4" xr3:uid="{00000000-0010-0000-0000-000004000000}" name="Vmp" dataDxfId="63"/>
    <tableColumn id="5" xr3:uid="{00000000-0010-0000-0000-000005000000}" name="%" dataDxfId="62"/>
    <tableColumn id="6" xr3:uid="{00000000-0010-0000-0000-000006000000}" name="Imp" dataDxfId="61"/>
    <tableColumn id="7" xr3:uid="{00000000-0010-0000-0000-000007000000}" name="Icc" dataDxfId="60"/>
    <tableColumn id="8" xr3:uid="{00000000-0010-0000-0000-000008000000}" name="sku_p" dataDxfId="59"/>
    <tableColumn id="9" xr3:uid="{00000000-0010-0000-0000-000009000000}" name="disponivel_p" dataDxfId="58"/>
  </tableColumns>
  <tableStyleInfo name="MPP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L2:BK296" headerRowDxfId="57" dataDxfId="56" totalsRowDxfId="55">
  <autoFilter ref="L2:BK296" xr:uid="{00000000-0009-0000-0100-000002000000}"/>
  <sortState xmlns:xlrd2="http://schemas.microsoft.com/office/spreadsheetml/2017/richdata2" ref="L3:BK296">
    <sortCondition ref="L2:L296"/>
  </sortState>
  <tableColumns count="52">
    <tableColumn id="1" xr3:uid="{00000000-0010-0000-0100-000001000000}" name="Inversor" dataDxfId="54"/>
    <tableColumn id="2" xr3:uid="{00000000-0010-0000-0100-000002000000}" name="Pnom" dataDxfId="53"/>
    <tableColumn id="3" xr3:uid="{00000000-0010-0000-0100-000003000000}" name="Pmax" dataDxfId="52"/>
    <tableColumn id="4" xr3:uid="{00000000-0010-0000-0100-000004000000}" name="Vmax" dataDxfId="51"/>
    <tableColumn id="5" xr3:uid="{00000000-0010-0000-0100-000005000000}" name="Vmin" dataDxfId="50"/>
    <tableColumn id="6" xr3:uid="{00000000-0010-0000-0100-000006000000}" name="sku_i" dataDxfId="49"/>
    <tableColumn id="7" xr3:uid="{00000000-0010-0000-0100-000007000000}" name="disponivel_i" dataDxfId="48"/>
    <tableColumn id="8" xr3:uid="{00000000-0010-0000-0100-000008000000}" name="Icc 1" dataDxfId="47"/>
    <tableColumn id="9" xr3:uid="{00000000-0010-0000-0100-000009000000}" name="Icc 2" dataDxfId="46"/>
    <tableColumn id="10" xr3:uid="{00000000-0010-0000-0100-00000A000000}" name="Icc 3" dataDxfId="45"/>
    <tableColumn id="11" xr3:uid="{00000000-0010-0000-0100-00000B000000}" name="Icc 4" dataDxfId="44"/>
    <tableColumn id="12" xr3:uid="{00000000-0010-0000-0100-00000C000000}" name="Icc 5" dataDxfId="43"/>
    <tableColumn id="13" xr3:uid="{00000000-0010-0000-0100-00000D000000}" name="Icc 6" dataDxfId="42"/>
    <tableColumn id="14" xr3:uid="{00000000-0010-0000-0100-00000E000000}" name="Icc 7" dataDxfId="41"/>
    <tableColumn id="15" xr3:uid="{00000000-0010-0000-0100-00000F000000}" name="Icc 8" dataDxfId="40"/>
    <tableColumn id="16" xr3:uid="{00000000-0010-0000-0100-000010000000}" name="Icc 9" dataDxfId="39"/>
    <tableColumn id="17" xr3:uid="{00000000-0010-0000-0100-000011000000}" name="Icc 10" dataDxfId="38"/>
    <tableColumn id="18" xr3:uid="{00000000-0010-0000-0100-000012000000}" name="Icc 11" dataDxfId="37"/>
    <tableColumn id="19" xr3:uid="{00000000-0010-0000-0100-000013000000}" name="Icc 12" dataDxfId="36"/>
    <tableColumn id="20" xr3:uid="{00000000-0010-0000-0100-000014000000}" name="Icc 13" dataDxfId="35"/>
    <tableColumn id="21" xr3:uid="{00000000-0010-0000-0100-000015000000}" name="Icc 14" dataDxfId="34"/>
    <tableColumn id="22" xr3:uid="{00000000-0010-0000-0100-000016000000}" name="Icc 15" dataDxfId="33"/>
    <tableColumn id="23" xr3:uid="{00000000-0010-0000-0100-000017000000}" name="Imp 1" dataDxfId="32"/>
    <tableColumn id="24" xr3:uid="{00000000-0010-0000-0100-000018000000}" name="Imp 2" dataDxfId="31"/>
    <tableColumn id="25" xr3:uid="{00000000-0010-0000-0100-000019000000}" name="Imp 3" dataDxfId="30"/>
    <tableColumn id="26" xr3:uid="{00000000-0010-0000-0100-00001A000000}" name="Imp 4" dataDxfId="29"/>
    <tableColumn id="27" xr3:uid="{00000000-0010-0000-0100-00001B000000}" name="Imp 5" dataDxfId="28"/>
    <tableColumn id="28" xr3:uid="{00000000-0010-0000-0100-00001C000000}" name="Imp 6" dataDxfId="27"/>
    <tableColumn id="29" xr3:uid="{00000000-0010-0000-0100-00001D000000}" name="Imp 7" dataDxfId="26"/>
    <tableColumn id="30" xr3:uid="{00000000-0010-0000-0100-00001E000000}" name="Imp 8" dataDxfId="25"/>
    <tableColumn id="31" xr3:uid="{00000000-0010-0000-0100-00001F000000}" name="Imp 9" dataDxfId="24"/>
    <tableColumn id="32" xr3:uid="{00000000-0010-0000-0100-000020000000}" name="Imp 10" dataDxfId="23"/>
    <tableColumn id="33" xr3:uid="{00000000-0010-0000-0100-000021000000}" name="Imp 11" dataDxfId="22"/>
    <tableColumn id="34" xr3:uid="{00000000-0010-0000-0100-000022000000}" name="Imp 12" dataDxfId="21"/>
    <tableColumn id="35" xr3:uid="{00000000-0010-0000-0100-000023000000}" name="Imp 13" dataDxfId="20"/>
    <tableColumn id="36" xr3:uid="{00000000-0010-0000-0100-000024000000}" name="Imp 14" dataDxfId="19"/>
    <tableColumn id="37" xr3:uid="{00000000-0010-0000-0100-000025000000}" name="Imp 15" dataDxfId="18"/>
    <tableColumn id="38" xr3:uid="{00000000-0010-0000-0100-000026000000}" name="1" dataDxfId="17"/>
    <tableColumn id="39" xr3:uid="{00000000-0010-0000-0100-000027000000}" name="2" dataDxfId="16"/>
    <tableColumn id="40" xr3:uid="{00000000-0010-0000-0100-000028000000}" name="3" dataDxfId="15"/>
    <tableColumn id="41" xr3:uid="{00000000-0010-0000-0100-000029000000}" name="4" dataDxfId="14"/>
    <tableColumn id="42" xr3:uid="{00000000-0010-0000-0100-00002A000000}" name="5" dataDxfId="13"/>
    <tableColumn id="43" xr3:uid="{00000000-0010-0000-0100-00002B000000}" name="6" dataDxfId="12"/>
    <tableColumn id="44" xr3:uid="{00000000-0010-0000-0100-00002C000000}" name="7" dataDxfId="11"/>
    <tableColumn id="45" xr3:uid="{00000000-0010-0000-0100-00002D000000}" name="8" dataDxfId="10"/>
    <tableColumn id="46" xr3:uid="{00000000-0010-0000-0100-00002E000000}" name="9" dataDxfId="9"/>
    <tableColumn id="47" xr3:uid="{00000000-0010-0000-0100-00002F000000}" name="10" dataDxfId="8"/>
    <tableColumn id="48" xr3:uid="{00000000-0010-0000-0100-000030000000}" name="11" dataDxfId="7"/>
    <tableColumn id="49" xr3:uid="{00000000-0010-0000-0100-000031000000}" name="12" dataDxfId="6"/>
    <tableColumn id="50" xr3:uid="{00000000-0010-0000-0100-000032000000}" name="13" dataDxfId="5"/>
    <tableColumn id="51" xr3:uid="{00000000-0010-0000-0100-000033000000}" name="14" dataDxfId="4"/>
    <tableColumn id="52" xr3:uid="{00000000-0010-0000-0100-000034000000}" name="15" dataDxfId="3"/>
  </tableColumns>
  <tableStyleInfo name="MPP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K1000"/>
  <sheetViews>
    <sheetView showGridLines="0" tabSelected="1" topLeftCell="D205" zoomScale="85" workbookViewId="0">
      <selection activeCell="Q239" sqref="Q239"/>
    </sheetView>
  </sheetViews>
  <sheetFormatPr defaultColWidth="14.42578125" defaultRowHeight="15" customHeight="1" x14ac:dyDescent="0.25"/>
  <cols>
    <col min="1" max="1" width="1.7109375" customWidth="1"/>
    <col min="2" max="2" width="61.28515625" style="1" customWidth="1"/>
    <col min="3" max="3" width="7.42578125" style="1" customWidth="1"/>
    <col min="4" max="4" width="9.5703125" style="1" customWidth="1"/>
    <col min="5" max="5" width="7.42578125" style="1" customWidth="1"/>
    <col min="6" max="6" width="8.5703125" style="1" customWidth="1"/>
    <col min="7" max="7" width="8.85546875" style="1" customWidth="1"/>
    <col min="8" max="8" width="8.5703125" style="1" customWidth="1"/>
    <col min="9" max="9" width="8.7109375" style="1" customWidth="1"/>
    <col min="10" max="10" width="14.28515625" style="1" bestFit="1" customWidth="1"/>
    <col min="11" max="11" width="1.7109375" style="1" customWidth="1"/>
    <col min="12" max="12" width="39.7109375" style="1" customWidth="1"/>
    <col min="13" max="13" width="7.140625" style="1" customWidth="1"/>
    <col min="14" max="14" width="11.140625" style="1" customWidth="1"/>
    <col min="15" max="15" width="8.85546875" style="1" customWidth="1"/>
    <col min="16" max="16" width="8" style="1" customWidth="1"/>
    <col min="17" max="18" width="8.7109375" style="1" customWidth="1"/>
    <col min="19" max="19" width="7.28515625" style="1" customWidth="1"/>
    <col min="20" max="32" width="6.7109375" style="1" customWidth="1"/>
    <col min="33" max="34" width="8.7109375" style="1" customWidth="1"/>
    <col min="35" max="47" width="6.7109375" style="1" customWidth="1"/>
    <col min="48" max="48" width="8.7109375" style="1" customWidth="1"/>
    <col min="49" max="61" width="4.28515625" style="1" customWidth="1"/>
    <col min="62" max="63" width="8.7109375" style="1" customWidth="1"/>
  </cols>
  <sheetData>
    <row r="1" spans="2:63" ht="33" customHeight="1" x14ac:dyDescent="0.25"/>
    <row r="2" spans="2:63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</row>
    <row r="3" spans="2:63" x14ac:dyDescent="0.25">
      <c r="B3" s="1" t="s">
        <v>393</v>
      </c>
      <c r="C3" s="1">
        <v>710</v>
      </c>
      <c r="D3" s="1">
        <v>48.94</v>
      </c>
      <c r="E3" s="1">
        <v>40.69</v>
      </c>
      <c r="F3" s="1">
        <v>-0.25900000000000001</v>
      </c>
      <c r="G3" s="1">
        <v>17.45</v>
      </c>
      <c r="H3" s="1">
        <v>18.45</v>
      </c>
      <c r="I3" s="4">
        <v>201741</v>
      </c>
      <c r="J3" s="32" t="s">
        <v>62</v>
      </c>
      <c r="L3" s="1" t="s">
        <v>61</v>
      </c>
      <c r="M3" s="1">
        <v>6</v>
      </c>
      <c r="N3" s="1">
        <f>Table_2[[#This Row],[Pnom]]*1.7*1000</f>
        <v>10200</v>
      </c>
      <c r="O3" s="1">
        <v>550</v>
      </c>
      <c r="P3" s="1">
        <v>60</v>
      </c>
      <c r="Q3" s="5">
        <v>186192</v>
      </c>
      <c r="R3" s="5" t="s">
        <v>62</v>
      </c>
      <c r="S3" s="6">
        <v>20</v>
      </c>
      <c r="T3" s="1">
        <v>20</v>
      </c>
      <c r="AG3" s="7"/>
      <c r="AH3" s="1">
        <v>16</v>
      </c>
      <c r="AI3" s="1">
        <v>16</v>
      </c>
      <c r="AV3" s="7"/>
      <c r="AW3" s="1">
        <v>1</v>
      </c>
      <c r="AX3" s="1">
        <v>1</v>
      </c>
    </row>
    <row r="4" spans="2:63" x14ac:dyDescent="0.25">
      <c r="B4" s="1" t="s">
        <v>389</v>
      </c>
      <c r="C4" s="4">
        <v>415</v>
      </c>
      <c r="D4" s="4">
        <v>40.700000000000003</v>
      </c>
      <c r="E4" s="4">
        <v>35.299999999999997</v>
      </c>
      <c r="F4" s="4">
        <v>-0.23</v>
      </c>
      <c r="G4" s="4">
        <v>11.75</v>
      </c>
      <c r="H4" s="4">
        <v>12.64</v>
      </c>
      <c r="I4" s="4">
        <v>206291</v>
      </c>
      <c r="J4" s="32" t="s">
        <v>62</v>
      </c>
      <c r="L4" s="1" t="s">
        <v>63</v>
      </c>
      <c r="M4" s="1">
        <v>10.5</v>
      </c>
      <c r="N4" s="1">
        <v>21000</v>
      </c>
      <c r="O4" s="1">
        <v>550</v>
      </c>
      <c r="P4" s="1">
        <v>40</v>
      </c>
      <c r="Q4" s="8"/>
      <c r="R4" s="8"/>
      <c r="S4" s="9">
        <v>40</v>
      </c>
      <c r="T4" s="1">
        <v>25</v>
      </c>
      <c r="AG4" s="10"/>
      <c r="AH4" s="1">
        <v>32</v>
      </c>
      <c r="AI4" s="1">
        <v>20</v>
      </c>
      <c r="AV4" s="10"/>
      <c r="AW4" s="1">
        <v>2</v>
      </c>
      <c r="AX4" s="1">
        <v>1</v>
      </c>
    </row>
    <row r="5" spans="2:63" x14ac:dyDescent="0.25">
      <c r="B5" s="4" t="s">
        <v>396</v>
      </c>
      <c r="C5" s="4">
        <v>620</v>
      </c>
      <c r="D5" s="4">
        <v>47.98</v>
      </c>
      <c r="E5" s="4">
        <v>40.39</v>
      </c>
      <c r="F5" s="4">
        <v>-0.25</v>
      </c>
      <c r="G5" s="4">
        <v>15.35</v>
      </c>
      <c r="H5" s="4">
        <v>16.3</v>
      </c>
      <c r="I5" s="4">
        <v>179728</v>
      </c>
      <c r="J5" s="4" t="s">
        <v>62</v>
      </c>
      <c r="L5" s="1" t="s">
        <v>64</v>
      </c>
      <c r="M5" s="1">
        <v>10</v>
      </c>
      <c r="N5" s="1">
        <v>20000</v>
      </c>
      <c r="O5" s="1">
        <v>600</v>
      </c>
      <c r="P5" s="1">
        <v>40</v>
      </c>
      <c r="Q5" s="5">
        <v>167963</v>
      </c>
      <c r="R5" s="5"/>
      <c r="S5" s="9">
        <v>40</v>
      </c>
      <c r="T5" s="1">
        <v>20</v>
      </c>
      <c r="AG5" s="10"/>
      <c r="AH5" s="1">
        <v>32</v>
      </c>
      <c r="AI5" s="1">
        <v>16</v>
      </c>
      <c r="AV5" s="10"/>
      <c r="AW5" s="1">
        <v>2</v>
      </c>
      <c r="AX5" s="1">
        <v>1</v>
      </c>
    </row>
    <row r="6" spans="2:63" x14ac:dyDescent="0.25">
      <c r="B6" s="1" t="s">
        <v>399</v>
      </c>
      <c r="C6" s="1">
        <v>610</v>
      </c>
      <c r="D6" s="1" t="s">
        <v>404</v>
      </c>
      <c r="E6" s="1" t="s">
        <v>403</v>
      </c>
      <c r="F6" s="1">
        <v>-0.24</v>
      </c>
      <c r="G6" s="1" t="s">
        <v>405</v>
      </c>
      <c r="H6" s="1" t="s">
        <v>406</v>
      </c>
      <c r="I6" s="1" t="s">
        <v>400</v>
      </c>
      <c r="J6" s="1" t="s">
        <v>62</v>
      </c>
      <c r="L6" s="1" t="s">
        <v>65</v>
      </c>
      <c r="M6" s="1">
        <v>15</v>
      </c>
      <c r="N6" s="1">
        <f>$M6*1000*2</f>
        <v>30000</v>
      </c>
      <c r="O6" s="1">
        <v>1100</v>
      </c>
      <c r="P6" s="1">
        <v>140</v>
      </c>
      <c r="Q6" s="8">
        <v>179270</v>
      </c>
      <c r="R6" s="8" t="s">
        <v>62</v>
      </c>
      <c r="S6" s="9">
        <v>32</v>
      </c>
      <c r="T6" s="1">
        <v>25</v>
      </c>
      <c r="AG6" s="10"/>
      <c r="AH6" s="1">
        <v>26</v>
      </c>
      <c r="AI6" s="1">
        <v>20</v>
      </c>
      <c r="AV6" s="10"/>
      <c r="AW6" s="1">
        <v>2</v>
      </c>
      <c r="AX6" s="1">
        <v>1</v>
      </c>
    </row>
    <row r="7" spans="2:63" x14ac:dyDescent="0.25">
      <c r="B7" s="1" t="s">
        <v>401</v>
      </c>
      <c r="C7" s="1">
        <v>620</v>
      </c>
      <c r="D7" s="1" t="s">
        <v>408</v>
      </c>
      <c r="E7" s="1" t="s">
        <v>407</v>
      </c>
      <c r="F7" s="1">
        <v>-0.25</v>
      </c>
      <c r="G7" s="1" t="s">
        <v>409</v>
      </c>
      <c r="H7" s="1" t="s">
        <v>410</v>
      </c>
      <c r="I7" s="1" t="s">
        <v>402</v>
      </c>
      <c r="J7" s="1" t="s">
        <v>62</v>
      </c>
      <c r="L7" s="1" t="s">
        <v>66</v>
      </c>
      <c r="M7" s="1">
        <v>15</v>
      </c>
      <c r="N7" s="1">
        <f>$M7*1000*1.5</f>
        <v>22500</v>
      </c>
      <c r="O7" s="1">
        <v>1100</v>
      </c>
      <c r="P7" s="1">
        <v>140</v>
      </c>
      <c r="Q7" s="5"/>
      <c r="R7" s="5"/>
      <c r="S7" s="9">
        <v>32</v>
      </c>
      <c r="T7" s="1">
        <v>25</v>
      </c>
      <c r="AG7" s="10"/>
      <c r="AH7" s="1">
        <v>26</v>
      </c>
      <c r="AI7" s="1">
        <v>20</v>
      </c>
      <c r="AV7" s="10"/>
      <c r="AW7" s="1">
        <v>2</v>
      </c>
      <c r="AX7" s="1">
        <v>1</v>
      </c>
    </row>
    <row r="8" spans="2:63" x14ac:dyDescent="0.25">
      <c r="B8" s="1" t="s">
        <v>412</v>
      </c>
      <c r="C8" s="1">
        <v>610</v>
      </c>
      <c r="D8" s="1">
        <v>48.94</v>
      </c>
      <c r="E8" s="1">
        <v>41.22</v>
      </c>
      <c r="F8" s="1">
        <v>-0.25</v>
      </c>
      <c r="G8" s="1">
        <v>14.8</v>
      </c>
      <c r="H8" s="1">
        <v>15.44</v>
      </c>
      <c r="I8" s="1" t="s">
        <v>413</v>
      </c>
      <c r="J8" s="1" t="s">
        <v>62</v>
      </c>
      <c r="L8" s="1" t="s">
        <v>67</v>
      </c>
      <c r="M8" s="1">
        <v>15</v>
      </c>
      <c r="N8" s="1">
        <f>Table_2[[#This Row],[Pnom]]*2000</f>
        <v>30000</v>
      </c>
      <c r="O8" s="1">
        <v>800</v>
      </c>
      <c r="P8" s="1">
        <v>360</v>
      </c>
      <c r="Q8" s="8">
        <v>186183</v>
      </c>
      <c r="R8" s="8"/>
      <c r="S8" s="6">
        <v>40</v>
      </c>
      <c r="T8" s="1">
        <v>40</v>
      </c>
      <c r="AG8" s="7"/>
      <c r="AH8" s="1">
        <v>32</v>
      </c>
      <c r="AI8" s="1">
        <v>32</v>
      </c>
      <c r="AV8" s="7"/>
      <c r="AW8" s="1">
        <v>2</v>
      </c>
      <c r="AX8" s="1">
        <v>2</v>
      </c>
    </row>
    <row r="9" spans="2:63" x14ac:dyDescent="0.25">
      <c r="B9" s="1" t="s">
        <v>411</v>
      </c>
      <c r="C9" s="1">
        <v>710</v>
      </c>
      <c r="D9" s="1">
        <v>48.6</v>
      </c>
      <c r="E9" s="1">
        <v>40.799999999999997</v>
      </c>
      <c r="F9" s="1">
        <v>-0.23</v>
      </c>
      <c r="G9" s="1">
        <v>17.41</v>
      </c>
      <c r="H9" s="1">
        <v>18.420000000000002</v>
      </c>
      <c r="I9" s="1">
        <v>209456</v>
      </c>
      <c r="J9" s="1" t="s">
        <v>62</v>
      </c>
      <c r="L9" s="1" t="s">
        <v>68</v>
      </c>
      <c r="M9" s="1">
        <v>20</v>
      </c>
      <c r="N9" s="1">
        <f>$M9*1000*2</f>
        <v>40000</v>
      </c>
      <c r="O9" s="1">
        <v>1100</v>
      </c>
      <c r="P9" s="1">
        <v>200</v>
      </c>
      <c r="Q9" s="5">
        <v>179271</v>
      </c>
      <c r="R9" s="5" t="s">
        <v>62</v>
      </c>
      <c r="S9" s="9">
        <v>40</v>
      </c>
      <c r="T9" s="1">
        <v>40</v>
      </c>
      <c r="AG9" s="10"/>
      <c r="AH9" s="1">
        <v>32</v>
      </c>
      <c r="AI9" s="1">
        <v>32</v>
      </c>
      <c r="AV9" s="10"/>
      <c r="AW9" s="1">
        <v>2</v>
      </c>
      <c r="AX9" s="1">
        <v>2</v>
      </c>
    </row>
    <row r="10" spans="2:63" x14ac:dyDescent="0.25">
      <c r="B10" s="4" t="s">
        <v>228</v>
      </c>
      <c r="C10" s="1">
        <v>605</v>
      </c>
      <c r="D10" s="1">
        <v>47.39</v>
      </c>
      <c r="E10" s="1">
        <v>39.799999999999997</v>
      </c>
      <c r="F10" s="4">
        <v>-0.25</v>
      </c>
      <c r="G10" s="1">
        <v>15.2</v>
      </c>
      <c r="H10" s="1">
        <v>16.16</v>
      </c>
      <c r="I10" s="1">
        <v>228604</v>
      </c>
      <c r="L10" s="1" t="s">
        <v>69</v>
      </c>
      <c r="M10" s="1">
        <v>20</v>
      </c>
      <c r="N10" s="1">
        <f>$M10*1000*1.5</f>
        <v>30000</v>
      </c>
      <c r="O10" s="1">
        <v>1100</v>
      </c>
      <c r="P10" s="1">
        <v>200</v>
      </c>
      <c r="Q10" s="8"/>
      <c r="R10" s="8"/>
      <c r="S10" s="9">
        <v>40</v>
      </c>
      <c r="T10" s="1">
        <v>40</v>
      </c>
      <c r="AG10" s="10"/>
      <c r="AH10" s="1">
        <v>32</v>
      </c>
      <c r="AI10" s="1">
        <v>32</v>
      </c>
      <c r="AV10" s="10"/>
      <c r="AW10" s="1">
        <v>2</v>
      </c>
      <c r="AX10" s="1">
        <v>2</v>
      </c>
    </row>
    <row r="11" spans="2:63" x14ac:dyDescent="0.25">
      <c r="B11" s="1" t="s">
        <v>265</v>
      </c>
      <c r="C11" s="1">
        <v>620</v>
      </c>
      <c r="D11" s="1">
        <v>48.34</v>
      </c>
      <c r="E11" s="1">
        <v>40.479999999999997</v>
      </c>
      <c r="F11" s="1">
        <v>-0.25</v>
      </c>
      <c r="G11" s="1">
        <v>15.33</v>
      </c>
      <c r="H11" s="1">
        <v>16.21</v>
      </c>
      <c r="I11" s="1">
        <v>213692</v>
      </c>
      <c r="L11" s="1" t="s">
        <v>70</v>
      </c>
      <c r="M11" s="1">
        <v>25</v>
      </c>
      <c r="N11" s="1">
        <f>$M11*1000*2</f>
        <v>50000</v>
      </c>
      <c r="O11" s="1">
        <v>1100</v>
      </c>
      <c r="P11" s="1">
        <v>200</v>
      </c>
      <c r="Q11" s="11">
        <v>179272</v>
      </c>
      <c r="R11" s="11" t="s">
        <v>62</v>
      </c>
      <c r="S11" s="9">
        <v>40</v>
      </c>
      <c r="T11" s="1">
        <v>40</v>
      </c>
      <c r="AG11" s="10"/>
      <c r="AH11" s="1">
        <v>32</v>
      </c>
      <c r="AI11" s="1">
        <v>32</v>
      </c>
      <c r="AV11" s="10"/>
      <c r="AW11" s="1">
        <v>2</v>
      </c>
      <c r="AX11" s="1">
        <v>2</v>
      </c>
    </row>
    <row r="12" spans="2:63" x14ac:dyDescent="0.25">
      <c r="B12" s="1" t="s">
        <v>390</v>
      </c>
      <c r="C12" s="4">
        <v>530</v>
      </c>
      <c r="D12" s="4">
        <v>46.3</v>
      </c>
      <c r="E12" s="4">
        <v>38.799999999999997</v>
      </c>
      <c r="F12" s="4">
        <v>-0.28000000000000003</v>
      </c>
      <c r="G12" s="4">
        <v>13.67</v>
      </c>
      <c r="H12" s="4">
        <v>14.49</v>
      </c>
      <c r="I12" s="4"/>
      <c r="J12" s="4"/>
      <c r="L12" s="1" t="s">
        <v>72</v>
      </c>
      <c r="M12" s="1">
        <v>25</v>
      </c>
      <c r="N12" s="1">
        <f>$M12*1000*1.5</f>
        <v>37500</v>
      </c>
      <c r="O12" s="1">
        <v>1100</v>
      </c>
      <c r="P12" s="1">
        <v>200</v>
      </c>
      <c r="Q12" s="8"/>
      <c r="R12" s="8"/>
      <c r="S12" s="9">
        <v>40</v>
      </c>
      <c r="T12" s="1">
        <v>40</v>
      </c>
      <c r="AG12" s="10"/>
      <c r="AH12" s="1">
        <v>32</v>
      </c>
      <c r="AI12" s="1">
        <v>32</v>
      </c>
      <c r="AV12" s="10"/>
      <c r="AW12" s="1">
        <v>2</v>
      </c>
      <c r="AX12" s="1">
        <v>2</v>
      </c>
    </row>
    <row r="13" spans="2:63" x14ac:dyDescent="0.25">
      <c r="B13" s="1" t="s">
        <v>391</v>
      </c>
      <c r="C13" s="4">
        <v>535</v>
      </c>
      <c r="D13" s="4">
        <v>46.5</v>
      </c>
      <c r="E13" s="4">
        <v>39</v>
      </c>
      <c r="F13" s="4">
        <v>-0.28000000000000003</v>
      </c>
      <c r="G13" s="4">
        <v>13.71</v>
      </c>
      <c r="H13" s="4">
        <v>14.45</v>
      </c>
      <c r="I13" s="4"/>
      <c r="J13" s="4"/>
      <c r="L13" s="1" t="s">
        <v>74</v>
      </c>
      <c r="M13" s="1">
        <v>25</v>
      </c>
      <c r="N13" s="1">
        <f>Table_2[[#This Row],[Pnom]]*2000</f>
        <v>50000</v>
      </c>
      <c r="O13" s="1">
        <v>800</v>
      </c>
      <c r="P13" s="1">
        <v>360</v>
      </c>
      <c r="Q13" s="5">
        <v>186184</v>
      </c>
      <c r="R13" s="5" t="s">
        <v>62</v>
      </c>
      <c r="S13" s="6">
        <v>50</v>
      </c>
      <c r="T13" s="1">
        <v>50</v>
      </c>
      <c r="U13" s="1">
        <v>25</v>
      </c>
      <c r="V13" s="1">
        <v>25</v>
      </c>
      <c r="AG13" s="7"/>
      <c r="AH13" s="1">
        <v>40</v>
      </c>
      <c r="AI13" s="1">
        <v>40</v>
      </c>
      <c r="AJ13" s="1">
        <v>20</v>
      </c>
      <c r="AK13" s="1">
        <v>20</v>
      </c>
      <c r="AV13" s="7"/>
      <c r="AW13" s="1">
        <v>2</v>
      </c>
      <c r="AX13" s="1">
        <v>2</v>
      </c>
      <c r="AY13" s="1">
        <v>1</v>
      </c>
      <c r="AZ13" s="1">
        <v>1</v>
      </c>
    </row>
    <row r="14" spans="2:63" x14ac:dyDescent="0.25">
      <c r="B14" s="1" t="s">
        <v>263</v>
      </c>
      <c r="C14" s="4">
        <v>640</v>
      </c>
      <c r="D14" s="4">
        <v>57.4</v>
      </c>
      <c r="E14" s="4">
        <v>48.71</v>
      </c>
      <c r="F14" s="4">
        <v>-0.24</v>
      </c>
      <c r="G14" s="4">
        <v>13.14</v>
      </c>
      <c r="H14" s="4">
        <v>13.98</v>
      </c>
      <c r="I14" s="4"/>
      <c r="J14" s="4"/>
      <c r="L14" s="1" t="s">
        <v>76</v>
      </c>
      <c r="M14" s="1">
        <v>30</v>
      </c>
      <c r="N14" s="1">
        <f>$M14*1000*2</f>
        <v>60000</v>
      </c>
      <c r="O14" s="1">
        <v>1100</v>
      </c>
      <c r="P14" s="1">
        <v>160</v>
      </c>
      <c r="Q14" s="8">
        <v>179274</v>
      </c>
      <c r="R14" s="8" t="s">
        <v>62</v>
      </c>
      <c r="S14" s="9">
        <v>50</v>
      </c>
      <c r="T14" s="1">
        <v>40</v>
      </c>
      <c r="U14" s="1">
        <v>40</v>
      </c>
      <c r="AG14" s="10"/>
      <c r="AH14" s="1">
        <v>40</v>
      </c>
      <c r="AI14" s="1">
        <v>32</v>
      </c>
      <c r="AJ14" s="1">
        <v>32</v>
      </c>
      <c r="AV14" s="10"/>
      <c r="AW14" s="1">
        <v>2</v>
      </c>
      <c r="AX14" s="1">
        <v>2</v>
      </c>
      <c r="AY14" s="1">
        <v>2</v>
      </c>
    </row>
    <row r="15" spans="2:63" x14ac:dyDescent="0.25">
      <c r="B15" s="1" t="s">
        <v>77</v>
      </c>
      <c r="C15" s="1">
        <v>550</v>
      </c>
      <c r="D15" s="1">
        <v>49.8</v>
      </c>
      <c r="E15" s="1">
        <v>42.16</v>
      </c>
      <c r="F15" s="1">
        <v>-0.28999999999999998</v>
      </c>
      <c r="G15" s="4">
        <v>13.05</v>
      </c>
      <c r="H15" s="4">
        <v>13.94</v>
      </c>
      <c r="I15" s="4"/>
      <c r="J15" s="4"/>
      <c r="L15" s="1" t="s">
        <v>78</v>
      </c>
      <c r="M15" s="1">
        <v>30</v>
      </c>
      <c r="N15" s="1">
        <f>$M15*1000*1.5</f>
        <v>45000</v>
      </c>
      <c r="O15" s="1">
        <v>1100</v>
      </c>
      <c r="P15" s="1">
        <v>160</v>
      </c>
      <c r="Q15" s="5"/>
      <c r="R15" s="5"/>
      <c r="S15" s="9">
        <v>50</v>
      </c>
      <c r="T15" s="1">
        <v>40</v>
      </c>
      <c r="U15" s="1">
        <v>40</v>
      </c>
      <c r="AG15" s="10"/>
      <c r="AH15" s="1">
        <v>40</v>
      </c>
      <c r="AI15" s="1">
        <v>32</v>
      </c>
      <c r="AJ15" s="1">
        <v>32</v>
      </c>
      <c r="AV15" s="10"/>
      <c r="AW15" s="1">
        <v>2</v>
      </c>
      <c r="AX15" s="1">
        <v>2</v>
      </c>
      <c r="AY15" s="1">
        <v>2</v>
      </c>
    </row>
    <row r="16" spans="2:63" x14ac:dyDescent="0.25">
      <c r="B16" s="1" t="s">
        <v>79</v>
      </c>
      <c r="C16" s="1">
        <v>370</v>
      </c>
      <c r="D16" s="1">
        <v>47.4</v>
      </c>
      <c r="E16" s="1">
        <v>40</v>
      </c>
      <c r="F16" s="1">
        <v>-0.28999999999999998</v>
      </c>
      <c r="G16" s="4">
        <v>9.26</v>
      </c>
      <c r="H16" s="4">
        <v>9.83</v>
      </c>
      <c r="I16" s="4"/>
      <c r="J16" s="4"/>
      <c r="L16" s="1" t="s">
        <v>80</v>
      </c>
      <c r="M16" s="1">
        <v>3</v>
      </c>
      <c r="N16" s="1">
        <v>6000</v>
      </c>
      <c r="O16" s="1">
        <v>550</v>
      </c>
      <c r="P16" s="1">
        <v>40</v>
      </c>
      <c r="Q16" s="8">
        <v>168764</v>
      </c>
      <c r="R16" s="8" t="s">
        <v>62</v>
      </c>
      <c r="S16" s="9">
        <v>22</v>
      </c>
      <c r="AG16" s="10"/>
      <c r="AH16" s="12">
        <v>18</v>
      </c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3"/>
      <c r="AW16" s="1">
        <v>1</v>
      </c>
    </row>
    <row r="17" spans="2:60" x14ac:dyDescent="0.25">
      <c r="B17" s="1" t="s">
        <v>81</v>
      </c>
      <c r="C17" s="1">
        <v>400</v>
      </c>
      <c r="D17" s="1">
        <v>47.2</v>
      </c>
      <c r="E17" s="1">
        <v>38.700000000000003</v>
      </c>
      <c r="F17" s="1">
        <v>-0.28000000000000003</v>
      </c>
      <c r="G17" s="4">
        <v>10.34</v>
      </c>
      <c r="H17" s="4">
        <v>10.9</v>
      </c>
      <c r="I17" s="4"/>
      <c r="J17" s="4"/>
      <c r="L17" s="1" t="s">
        <v>82</v>
      </c>
      <c r="M17" s="1">
        <v>40</v>
      </c>
      <c r="N17" s="1">
        <v>80000</v>
      </c>
      <c r="O17" s="1">
        <v>1100</v>
      </c>
      <c r="P17" s="1">
        <v>180</v>
      </c>
      <c r="Q17" s="5">
        <v>186177</v>
      </c>
      <c r="R17" s="5"/>
      <c r="S17" s="6">
        <v>50</v>
      </c>
      <c r="T17" s="1">
        <v>50</v>
      </c>
      <c r="U17" s="1">
        <v>25</v>
      </c>
      <c r="V17" s="1">
        <v>25</v>
      </c>
      <c r="AG17" s="7"/>
      <c r="AH17" s="1">
        <v>40</v>
      </c>
      <c r="AI17" s="1">
        <v>40</v>
      </c>
      <c r="AJ17" s="1">
        <v>20</v>
      </c>
      <c r="AK17" s="1">
        <v>20</v>
      </c>
      <c r="AV17" s="7"/>
      <c r="AW17" s="1">
        <v>2</v>
      </c>
      <c r="AX17" s="1">
        <v>2</v>
      </c>
      <c r="AY17" s="1">
        <v>1</v>
      </c>
      <c r="AZ17" s="1">
        <v>1</v>
      </c>
    </row>
    <row r="18" spans="2:60" x14ac:dyDescent="0.25">
      <c r="B18" s="1" t="s">
        <v>83</v>
      </c>
      <c r="C18" s="1">
        <v>405</v>
      </c>
      <c r="D18" s="1">
        <v>47.4</v>
      </c>
      <c r="E18" s="1">
        <v>38.9</v>
      </c>
      <c r="F18" s="1">
        <v>-0.28000000000000003</v>
      </c>
      <c r="G18" s="4">
        <v>10.42</v>
      </c>
      <c r="H18" s="4">
        <v>10.98</v>
      </c>
      <c r="I18" s="4"/>
      <c r="J18" s="4"/>
      <c r="L18" s="1" t="s">
        <v>84</v>
      </c>
      <c r="M18" s="1">
        <v>4</v>
      </c>
      <c r="N18" s="1">
        <v>8000</v>
      </c>
      <c r="O18" s="1">
        <v>550</v>
      </c>
      <c r="P18" s="1">
        <v>40</v>
      </c>
      <c r="Q18" s="8">
        <v>168765</v>
      </c>
      <c r="R18" s="8" t="s">
        <v>62</v>
      </c>
      <c r="S18" s="9">
        <v>22</v>
      </c>
      <c r="T18" s="1">
        <v>22</v>
      </c>
      <c r="AG18" s="10"/>
      <c r="AH18" s="1">
        <v>18</v>
      </c>
      <c r="AI18" s="1">
        <v>18</v>
      </c>
      <c r="AV18" s="10"/>
      <c r="AW18" s="1">
        <v>1</v>
      </c>
      <c r="AX18" s="1">
        <v>1</v>
      </c>
    </row>
    <row r="19" spans="2:60" x14ac:dyDescent="0.25">
      <c r="B19" s="1" t="s">
        <v>85</v>
      </c>
      <c r="C19" s="1">
        <v>420</v>
      </c>
      <c r="D19" s="1">
        <v>48</v>
      </c>
      <c r="E19" s="1">
        <v>39.5</v>
      </c>
      <c r="F19" s="1">
        <v>-0.28000000000000003</v>
      </c>
      <c r="G19" s="4">
        <v>10.64</v>
      </c>
      <c r="H19" s="4">
        <v>11.26</v>
      </c>
      <c r="I19" s="4"/>
      <c r="J19" s="4"/>
      <c r="L19" s="1" t="s">
        <v>86</v>
      </c>
      <c r="M19" s="1">
        <v>5</v>
      </c>
      <c r="N19" s="1">
        <v>10000</v>
      </c>
      <c r="O19" s="1">
        <v>550</v>
      </c>
      <c r="P19" s="1">
        <v>40</v>
      </c>
      <c r="Q19" s="5"/>
      <c r="R19" s="5"/>
      <c r="S19" s="9">
        <v>22</v>
      </c>
      <c r="T19" s="1">
        <v>22</v>
      </c>
      <c r="AG19" s="10"/>
      <c r="AH19" s="12">
        <v>18</v>
      </c>
      <c r="AI19" s="12">
        <v>18</v>
      </c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3"/>
      <c r="AW19" s="1">
        <v>1</v>
      </c>
      <c r="AX19" s="1">
        <v>1</v>
      </c>
    </row>
    <row r="20" spans="2:60" x14ac:dyDescent="0.25">
      <c r="B20" s="1" t="s">
        <v>87</v>
      </c>
      <c r="C20" s="1">
        <v>435</v>
      </c>
      <c r="D20" s="1">
        <v>52.9</v>
      </c>
      <c r="E20" s="1">
        <v>40.5</v>
      </c>
      <c r="F20" s="1">
        <v>-0.27</v>
      </c>
      <c r="G20" s="4">
        <v>9.82</v>
      </c>
      <c r="H20" s="4">
        <v>10.46</v>
      </c>
      <c r="I20" s="4"/>
      <c r="J20" s="4"/>
      <c r="L20" s="1" t="s">
        <v>88</v>
      </c>
      <c r="M20" s="1">
        <v>6</v>
      </c>
      <c r="N20" s="1">
        <v>12000</v>
      </c>
      <c r="O20" s="1">
        <v>550</v>
      </c>
      <c r="P20" s="1">
        <v>40</v>
      </c>
      <c r="Q20" s="8">
        <v>168766</v>
      </c>
      <c r="R20" s="8" t="s">
        <v>62</v>
      </c>
      <c r="S20" s="9">
        <v>22</v>
      </c>
      <c r="T20" s="1">
        <v>22</v>
      </c>
      <c r="AG20" s="10"/>
      <c r="AH20" s="1">
        <v>18</v>
      </c>
      <c r="AI20" s="1">
        <v>18</v>
      </c>
      <c r="AV20" s="10"/>
      <c r="AW20" s="1">
        <v>1</v>
      </c>
      <c r="AX20" s="1">
        <v>1</v>
      </c>
    </row>
    <row r="21" spans="2:60" ht="15.75" customHeight="1" x14ac:dyDescent="0.25">
      <c r="B21" s="1" t="s">
        <v>89</v>
      </c>
      <c r="C21" s="1">
        <v>440</v>
      </c>
      <c r="D21" s="1">
        <v>53.1</v>
      </c>
      <c r="E21" s="1">
        <v>40.700000000000003</v>
      </c>
      <c r="F21" s="1">
        <v>-0.27</v>
      </c>
      <c r="G21" s="4">
        <v>9.89</v>
      </c>
      <c r="H21" s="4">
        <v>10.52</v>
      </c>
      <c r="I21" s="4"/>
      <c r="J21" s="4"/>
      <c r="L21" s="1" t="s">
        <v>90</v>
      </c>
      <c r="M21" s="1">
        <v>7.5</v>
      </c>
      <c r="N21" s="1">
        <v>15000</v>
      </c>
      <c r="O21" s="1">
        <v>600</v>
      </c>
      <c r="P21" s="1">
        <v>80</v>
      </c>
      <c r="Q21" s="5">
        <v>167958</v>
      </c>
      <c r="R21" s="5"/>
      <c r="S21" s="9">
        <v>35</v>
      </c>
      <c r="T21" s="1">
        <v>20</v>
      </c>
      <c r="AG21" s="10"/>
      <c r="AH21" s="12">
        <v>27</v>
      </c>
      <c r="AI21" s="12">
        <v>16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3"/>
      <c r="AW21" s="1">
        <v>2</v>
      </c>
      <c r="AX21" s="1">
        <v>1</v>
      </c>
    </row>
    <row r="22" spans="2:60" ht="15.75" customHeight="1" x14ac:dyDescent="0.25">
      <c r="B22" s="1" t="s">
        <v>91</v>
      </c>
      <c r="C22" s="1">
        <v>445</v>
      </c>
      <c r="D22" s="1">
        <v>48.9</v>
      </c>
      <c r="E22" s="1">
        <v>40.9</v>
      </c>
      <c r="F22" s="1">
        <v>-0.27</v>
      </c>
      <c r="G22" s="4">
        <v>10.89</v>
      </c>
      <c r="H22" s="4">
        <v>11.54</v>
      </c>
      <c r="I22" s="4"/>
      <c r="J22" s="4"/>
      <c r="L22" s="1" t="s">
        <v>92</v>
      </c>
      <c r="M22" s="1">
        <v>75</v>
      </c>
      <c r="N22" s="1">
        <v>150000</v>
      </c>
      <c r="O22" s="1">
        <v>1100</v>
      </c>
      <c r="P22" s="1">
        <v>180</v>
      </c>
      <c r="Q22" s="8">
        <v>186180</v>
      </c>
      <c r="R22" s="8"/>
      <c r="S22" s="6">
        <v>60</v>
      </c>
      <c r="T22" s="1">
        <v>60</v>
      </c>
      <c r="U22" s="1">
        <v>60</v>
      </c>
      <c r="V22" s="1">
        <v>60</v>
      </c>
      <c r="AG22" s="7"/>
      <c r="AH22" s="1">
        <v>48</v>
      </c>
      <c r="AI22" s="1">
        <v>48</v>
      </c>
      <c r="AJ22" s="1">
        <v>48</v>
      </c>
      <c r="AK22" s="1">
        <v>48</v>
      </c>
      <c r="AV22" s="7"/>
      <c r="AW22" s="1">
        <v>3</v>
      </c>
      <c r="AX22" s="1">
        <v>3</v>
      </c>
      <c r="AY22" s="1">
        <v>3</v>
      </c>
      <c r="AZ22" s="1">
        <v>3</v>
      </c>
    </row>
    <row r="23" spans="2:60" ht="15.75" customHeight="1" x14ac:dyDescent="0.25">
      <c r="B23" s="1" t="s">
        <v>93</v>
      </c>
      <c r="C23" s="1">
        <v>450</v>
      </c>
      <c r="D23" s="1">
        <v>49.1</v>
      </c>
      <c r="E23" s="1">
        <v>41.1</v>
      </c>
      <c r="F23" s="1">
        <v>-0.27</v>
      </c>
      <c r="G23" s="4">
        <v>10.96</v>
      </c>
      <c r="H23" s="4">
        <v>11.6</v>
      </c>
      <c r="I23" s="4"/>
      <c r="J23" s="4"/>
      <c r="L23" s="1" t="s">
        <v>94</v>
      </c>
      <c r="M23" s="1">
        <v>75</v>
      </c>
      <c r="N23" s="1">
        <v>150000</v>
      </c>
      <c r="O23" s="1">
        <v>800</v>
      </c>
      <c r="P23" s="1">
        <v>195</v>
      </c>
      <c r="Q23" s="5">
        <v>186186</v>
      </c>
      <c r="R23" s="5" t="s">
        <v>62</v>
      </c>
      <c r="S23" s="6">
        <v>50</v>
      </c>
      <c r="T23" s="1">
        <v>50</v>
      </c>
      <c r="U23" s="1">
        <v>50</v>
      </c>
      <c r="V23" s="1">
        <v>50</v>
      </c>
      <c r="W23" s="1">
        <v>50</v>
      </c>
      <c r="X23" s="1">
        <v>50</v>
      </c>
      <c r="Y23" s="1">
        <v>50</v>
      </c>
      <c r="Z23" s="1">
        <v>50</v>
      </c>
      <c r="AG23" s="7"/>
      <c r="AH23" s="1">
        <v>40</v>
      </c>
      <c r="AI23" s="1">
        <v>40</v>
      </c>
      <c r="AJ23" s="1">
        <v>40</v>
      </c>
      <c r="AK23" s="1">
        <v>40</v>
      </c>
      <c r="AL23" s="1">
        <v>40</v>
      </c>
      <c r="AM23" s="1">
        <v>40</v>
      </c>
      <c r="AN23" s="1">
        <v>40</v>
      </c>
      <c r="AO23" s="1">
        <v>40</v>
      </c>
      <c r="AV23" s="7"/>
      <c r="AW23" s="1">
        <v>2</v>
      </c>
      <c r="AX23" s="1">
        <v>2</v>
      </c>
      <c r="AY23" s="1">
        <v>2</v>
      </c>
      <c r="AZ23" s="1">
        <v>2</v>
      </c>
      <c r="BA23" s="1">
        <v>2</v>
      </c>
      <c r="BB23" s="1">
        <v>2</v>
      </c>
      <c r="BC23" s="1">
        <v>2</v>
      </c>
      <c r="BD23" s="1">
        <v>2</v>
      </c>
    </row>
    <row r="24" spans="2:60" ht="15.75" customHeight="1" x14ac:dyDescent="0.25">
      <c r="B24" s="1" t="s">
        <v>95</v>
      </c>
      <c r="C24" s="1">
        <v>455</v>
      </c>
      <c r="D24" s="1">
        <v>49.3</v>
      </c>
      <c r="E24" s="1">
        <v>41.3</v>
      </c>
      <c r="F24" s="1">
        <v>-0.27</v>
      </c>
      <c r="G24" s="4">
        <v>11.02</v>
      </c>
      <c r="H24" s="4">
        <v>11.66</v>
      </c>
      <c r="I24" s="4"/>
      <c r="J24" s="4"/>
      <c r="L24" s="1" t="s">
        <v>96</v>
      </c>
      <c r="M24" s="1">
        <v>100</v>
      </c>
      <c r="N24" s="1">
        <v>165000</v>
      </c>
      <c r="O24" s="1">
        <v>1100</v>
      </c>
      <c r="P24" s="1">
        <v>195</v>
      </c>
      <c r="Q24" s="8"/>
      <c r="R24" s="8"/>
      <c r="S24" s="15">
        <v>40</v>
      </c>
      <c r="T24" s="12">
        <v>40</v>
      </c>
      <c r="U24" s="12">
        <v>40</v>
      </c>
      <c r="V24" s="12">
        <v>40</v>
      </c>
      <c r="W24" s="12">
        <v>40</v>
      </c>
      <c r="X24" s="12">
        <v>40</v>
      </c>
      <c r="Y24" s="12">
        <v>40</v>
      </c>
      <c r="Z24" s="12">
        <v>40</v>
      </c>
      <c r="AA24" s="12">
        <v>40</v>
      </c>
      <c r="AB24" s="12">
        <v>40</v>
      </c>
      <c r="AC24" s="12"/>
      <c r="AD24" s="12"/>
      <c r="AE24" s="12"/>
      <c r="AF24" s="12"/>
      <c r="AG24" s="13"/>
      <c r="AH24" s="12">
        <v>26</v>
      </c>
      <c r="AI24" s="12">
        <v>26</v>
      </c>
      <c r="AJ24" s="12">
        <v>26</v>
      </c>
      <c r="AK24" s="12">
        <v>26</v>
      </c>
      <c r="AL24" s="12">
        <v>26</v>
      </c>
      <c r="AM24" s="12">
        <v>26</v>
      </c>
      <c r="AN24" s="12">
        <v>26</v>
      </c>
      <c r="AO24" s="12">
        <v>26</v>
      </c>
      <c r="AP24" s="12">
        <v>26</v>
      </c>
      <c r="AQ24" s="12">
        <v>26</v>
      </c>
      <c r="AR24" s="12"/>
      <c r="AS24" s="12"/>
      <c r="AT24" s="12"/>
      <c r="AU24" s="12"/>
      <c r="AV24" s="13"/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</row>
    <row r="25" spans="2:60" ht="15.75" customHeight="1" x14ac:dyDescent="0.25">
      <c r="B25" s="1" t="s">
        <v>97</v>
      </c>
      <c r="C25" s="1">
        <v>535</v>
      </c>
      <c r="D25" s="1">
        <v>49</v>
      </c>
      <c r="E25" s="1">
        <v>40.799999999999997</v>
      </c>
      <c r="F25" s="1">
        <v>-0.26</v>
      </c>
      <c r="G25" s="4">
        <v>13.02</v>
      </c>
      <c r="H25" s="4">
        <v>13.85</v>
      </c>
      <c r="I25" s="4"/>
      <c r="J25" s="4"/>
      <c r="L25" s="1" t="s">
        <v>98</v>
      </c>
      <c r="M25" s="1">
        <v>110</v>
      </c>
      <c r="N25" s="1">
        <v>181500</v>
      </c>
      <c r="O25" s="1">
        <v>1100</v>
      </c>
      <c r="P25" s="1">
        <v>195</v>
      </c>
      <c r="Q25" s="5"/>
      <c r="R25" s="5"/>
      <c r="S25" s="15">
        <v>40</v>
      </c>
      <c r="T25" s="12">
        <v>40</v>
      </c>
      <c r="U25" s="12">
        <v>40</v>
      </c>
      <c r="V25" s="12">
        <v>40</v>
      </c>
      <c r="W25" s="12">
        <v>40</v>
      </c>
      <c r="X25" s="12">
        <v>40</v>
      </c>
      <c r="Y25" s="12">
        <v>40</v>
      </c>
      <c r="Z25" s="12">
        <v>40</v>
      </c>
      <c r="AA25" s="12">
        <v>40</v>
      </c>
      <c r="AB25" s="12">
        <v>40</v>
      </c>
      <c r="AC25" s="12"/>
      <c r="AD25" s="12"/>
      <c r="AE25" s="12"/>
      <c r="AF25" s="12"/>
      <c r="AG25" s="13"/>
      <c r="AH25" s="12">
        <v>26</v>
      </c>
      <c r="AI25" s="12">
        <v>26</v>
      </c>
      <c r="AJ25" s="12">
        <v>26</v>
      </c>
      <c r="AK25" s="12">
        <v>26</v>
      </c>
      <c r="AL25" s="12">
        <v>26</v>
      </c>
      <c r="AM25" s="12">
        <v>26</v>
      </c>
      <c r="AN25" s="12">
        <v>26</v>
      </c>
      <c r="AO25" s="12">
        <v>26</v>
      </c>
      <c r="AP25" s="12">
        <v>26</v>
      </c>
      <c r="AQ25" s="12">
        <v>26</v>
      </c>
      <c r="AR25" s="12"/>
      <c r="AS25" s="12"/>
      <c r="AT25" s="12"/>
      <c r="AU25" s="12"/>
      <c r="AV25" s="13"/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</row>
    <row r="26" spans="2:60" ht="15.75" customHeight="1" x14ac:dyDescent="0.25">
      <c r="B26" s="14" t="s">
        <v>99</v>
      </c>
      <c r="C26" s="1">
        <v>550</v>
      </c>
      <c r="D26" s="1">
        <v>49.8</v>
      </c>
      <c r="E26" s="1">
        <v>41.93</v>
      </c>
      <c r="F26" s="1">
        <v>-0.28000000000000003</v>
      </c>
      <c r="G26" s="4">
        <v>13.12</v>
      </c>
      <c r="H26" s="4">
        <v>13.88</v>
      </c>
      <c r="I26" s="4"/>
      <c r="J26" s="4"/>
      <c r="L26" s="1" t="s">
        <v>100</v>
      </c>
      <c r="M26" s="1">
        <v>15</v>
      </c>
      <c r="N26" s="1">
        <v>24750</v>
      </c>
      <c r="O26" s="1">
        <v>1000</v>
      </c>
      <c r="P26" s="1">
        <v>180</v>
      </c>
      <c r="Q26" s="8"/>
      <c r="R26" s="8"/>
      <c r="S26" s="15">
        <v>34.299999999999997</v>
      </c>
      <c r="T26" s="12">
        <v>34.299999999999997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3"/>
      <c r="AH26" s="12">
        <v>22</v>
      </c>
      <c r="AI26" s="12">
        <v>22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3"/>
      <c r="AW26" s="1">
        <v>2</v>
      </c>
      <c r="AX26" s="1">
        <v>2</v>
      </c>
    </row>
    <row r="27" spans="2:60" ht="15.75" customHeight="1" x14ac:dyDescent="0.25">
      <c r="B27" s="1" t="s">
        <v>101</v>
      </c>
      <c r="C27" s="1">
        <v>550</v>
      </c>
      <c r="D27" s="1">
        <v>49.6</v>
      </c>
      <c r="E27" s="1">
        <v>41.7</v>
      </c>
      <c r="F27" s="1">
        <v>-0.26</v>
      </c>
      <c r="G27" s="4"/>
      <c r="H27" s="4"/>
      <c r="I27" s="4"/>
      <c r="J27" s="4"/>
      <c r="L27" s="1" t="s">
        <v>102</v>
      </c>
      <c r="M27" s="1">
        <v>20</v>
      </c>
      <c r="N27" s="1">
        <v>33000</v>
      </c>
      <c r="O27" s="1">
        <v>1000</v>
      </c>
      <c r="P27" s="1">
        <v>180</v>
      </c>
      <c r="Q27" s="5"/>
      <c r="R27" s="5"/>
      <c r="S27" s="15">
        <v>34.299999999999997</v>
      </c>
      <c r="T27" s="12">
        <v>34.299999999999997</v>
      </c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3"/>
      <c r="AH27" s="12">
        <v>22</v>
      </c>
      <c r="AI27" s="12">
        <v>22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3"/>
      <c r="AW27" s="1">
        <v>2</v>
      </c>
      <c r="AX27" s="1">
        <v>2</v>
      </c>
    </row>
    <row r="28" spans="2:60" ht="15.75" customHeight="1" x14ac:dyDescent="0.25">
      <c r="B28" s="1" t="s">
        <v>103</v>
      </c>
      <c r="C28" s="1">
        <v>550</v>
      </c>
      <c r="D28" s="1">
        <v>50.2</v>
      </c>
      <c r="E28" s="1">
        <v>42.4</v>
      </c>
      <c r="F28" s="1">
        <v>-0.31</v>
      </c>
      <c r="G28" s="4">
        <v>12.97</v>
      </c>
      <c r="H28" s="4">
        <v>13.78</v>
      </c>
      <c r="I28" s="4"/>
      <c r="J28" s="4"/>
      <c r="L28" s="1" t="s">
        <v>104</v>
      </c>
      <c r="M28" s="1">
        <v>20</v>
      </c>
      <c r="N28" s="1">
        <v>30000</v>
      </c>
      <c r="O28" s="1">
        <v>1000</v>
      </c>
      <c r="P28" s="1">
        <v>350</v>
      </c>
      <c r="Q28" s="8"/>
      <c r="R28" s="8"/>
      <c r="S28" s="15">
        <v>28.1</v>
      </c>
      <c r="T28" s="12">
        <v>28.1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3"/>
      <c r="AH28" s="12">
        <v>20</v>
      </c>
      <c r="AI28" s="12">
        <v>20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3"/>
      <c r="AW28" s="1">
        <v>2</v>
      </c>
      <c r="AX28" s="1">
        <v>2</v>
      </c>
    </row>
    <row r="29" spans="2:60" ht="15.75" customHeight="1" x14ac:dyDescent="0.25">
      <c r="B29" s="1" t="s">
        <v>105</v>
      </c>
      <c r="C29" s="4">
        <v>610</v>
      </c>
      <c r="D29" s="4">
        <v>48.2</v>
      </c>
      <c r="E29" s="4">
        <v>40.9</v>
      </c>
      <c r="F29" s="4">
        <v>-0.25</v>
      </c>
      <c r="G29" s="4">
        <v>14.91</v>
      </c>
      <c r="H29" s="4">
        <v>15.88</v>
      </c>
      <c r="I29" s="4"/>
      <c r="J29" s="4"/>
      <c r="L29" s="1" t="s">
        <v>106</v>
      </c>
      <c r="M29" s="1">
        <v>250</v>
      </c>
      <c r="N29" s="1">
        <v>500000</v>
      </c>
      <c r="O29" s="1">
        <v>1500</v>
      </c>
      <c r="P29" s="1">
        <v>880</v>
      </c>
      <c r="Q29" s="5"/>
      <c r="R29" s="5"/>
      <c r="S29" s="6">
        <v>60</v>
      </c>
      <c r="T29" s="1">
        <v>60</v>
      </c>
      <c r="U29" s="1">
        <v>60</v>
      </c>
      <c r="V29" s="1">
        <v>60</v>
      </c>
      <c r="W29" s="1">
        <v>60</v>
      </c>
      <c r="X29" s="1">
        <v>60</v>
      </c>
      <c r="Y29" s="1">
        <v>60</v>
      </c>
      <c r="Z29" s="1">
        <v>60</v>
      </c>
      <c r="AA29" s="1">
        <v>60</v>
      </c>
      <c r="AB29" s="1">
        <v>60</v>
      </c>
      <c r="AC29" s="1">
        <v>60</v>
      </c>
      <c r="AD29" s="1">
        <v>60</v>
      </c>
      <c r="AG29" s="7"/>
      <c r="AH29" s="1">
        <v>40</v>
      </c>
      <c r="AI29" s="1">
        <v>40</v>
      </c>
      <c r="AJ29" s="1">
        <v>40</v>
      </c>
      <c r="AK29" s="1">
        <v>40</v>
      </c>
      <c r="AL29" s="1">
        <v>40</v>
      </c>
      <c r="AM29" s="1">
        <v>40</v>
      </c>
      <c r="AN29" s="1">
        <v>40</v>
      </c>
      <c r="AO29" s="1">
        <v>40</v>
      </c>
      <c r="AP29" s="1">
        <v>40</v>
      </c>
      <c r="AQ29" s="1">
        <v>40</v>
      </c>
      <c r="AR29" s="1">
        <v>40</v>
      </c>
      <c r="AS29" s="1">
        <v>40</v>
      </c>
      <c r="AV29" s="7"/>
      <c r="AW29" s="1">
        <v>2</v>
      </c>
      <c r="AX29" s="1">
        <v>2</v>
      </c>
      <c r="AY29" s="1">
        <v>2</v>
      </c>
      <c r="AZ29" s="1">
        <v>2</v>
      </c>
      <c r="BA29" s="1">
        <v>2</v>
      </c>
      <c r="BB29" s="1">
        <v>2</v>
      </c>
      <c r="BC29" s="1">
        <v>2</v>
      </c>
      <c r="BD29" s="1">
        <v>2</v>
      </c>
      <c r="BE29" s="1">
        <v>2</v>
      </c>
      <c r="BF29" s="1">
        <v>2</v>
      </c>
      <c r="BG29" s="1">
        <v>2</v>
      </c>
      <c r="BH29" s="1">
        <v>2</v>
      </c>
    </row>
    <row r="30" spans="2:60" ht="15.75" customHeight="1" x14ac:dyDescent="0.25">
      <c r="B30" s="4" t="s">
        <v>107</v>
      </c>
      <c r="C30" s="4">
        <v>700</v>
      </c>
      <c r="D30" s="4">
        <v>50.26</v>
      </c>
      <c r="E30" s="4">
        <v>42.14</v>
      </c>
      <c r="F30" s="4">
        <v>-0.24</v>
      </c>
      <c r="G30" s="4">
        <v>16.61</v>
      </c>
      <c r="H30" s="4">
        <v>17.39</v>
      </c>
      <c r="I30" s="4"/>
      <c r="J30" s="4"/>
      <c r="L30" s="1" t="s">
        <v>108</v>
      </c>
      <c r="M30" s="1">
        <v>25</v>
      </c>
      <c r="N30" s="1">
        <v>37500</v>
      </c>
      <c r="O30" s="1">
        <v>1100</v>
      </c>
      <c r="P30" s="1">
        <v>195</v>
      </c>
      <c r="Q30" s="8"/>
      <c r="R30" s="8"/>
      <c r="S30" s="15">
        <v>50</v>
      </c>
      <c r="T30" s="12">
        <f>S30</f>
        <v>50</v>
      </c>
      <c r="U30" s="12">
        <f>T30</f>
        <v>50</v>
      </c>
      <c r="V30" s="12">
        <f>U30</f>
        <v>50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3"/>
      <c r="AH30" s="12">
        <v>32</v>
      </c>
      <c r="AI30" s="12">
        <v>32</v>
      </c>
      <c r="AJ30" s="12">
        <v>32</v>
      </c>
      <c r="AK30" s="12">
        <v>32</v>
      </c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3"/>
      <c r="AW30" s="1">
        <v>2</v>
      </c>
      <c r="AX30" s="1">
        <v>2</v>
      </c>
      <c r="AY30" s="1">
        <v>2</v>
      </c>
      <c r="AZ30" s="1">
        <v>2</v>
      </c>
    </row>
    <row r="31" spans="2:60" ht="15.75" customHeight="1" x14ac:dyDescent="0.25">
      <c r="B31" s="1" t="s">
        <v>109</v>
      </c>
      <c r="C31" s="4">
        <v>700</v>
      </c>
      <c r="D31" s="4">
        <v>49.73</v>
      </c>
      <c r="E31" s="4">
        <v>41.81</v>
      </c>
      <c r="F31" s="4">
        <v>-0.24</v>
      </c>
      <c r="G31" s="4">
        <v>16.75</v>
      </c>
      <c r="H31" s="4">
        <v>17.78</v>
      </c>
      <c r="I31" s="4"/>
      <c r="J31" s="4"/>
      <c r="L31" s="1" t="s">
        <v>110</v>
      </c>
      <c r="M31" s="1">
        <v>25</v>
      </c>
      <c r="N31" s="1">
        <v>41250</v>
      </c>
      <c r="O31" s="1">
        <v>1100</v>
      </c>
      <c r="P31" s="1">
        <v>200</v>
      </c>
      <c r="Q31" s="5"/>
      <c r="R31" s="5"/>
      <c r="S31" s="15">
        <v>40</v>
      </c>
      <c r="T31" s="12">
        <f>S31</f>
        <v>40</v>
      </c>
      <c r="U31" s="12">
        <f>T31</f>
        <v>40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12">
        <v>26</v>
      </c>
      <c r="AI31" s="12">
        <v>26</v>
      </c>
      <c r="AJ31" s="12">
        <v>26</v>
      </c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3"/>
      <c r="AW31" s="1">
        <v>2</v>
      </c>
      <c r="AX31" s="1">
        <v>2</v>
      </c>
      <c r="AY31" s="1">
        <v>2</v>
      </c>
    </row>
    <row r="32" spans="2:60" ht="15.75" customHeight="1" x14ac:dyDescent="0.25">
      <c r="B32" s="1" t="s">
        <v>392</v>
      </c>
      <c r="C32" s="4">
        <v>710</v>
      </c>
      <c r="D32" s="4">
        <v>48</v>
      </c>
      <c r="E32" s="4">
        <v>40.4</v>
      </c>
      <c r="F32" s="4">
        <v>-0.25</v>
      </c>
      <c r="G32" s="4">
        <v>17.57</v>
      </c>
      <c r="H32" s="4">
        <v>18.61</v>
      </c>
      <c r="I32" s="4"/>
      <c r="J32" s="4"/>
      <c r="L32" s="1" t="s">
        <v>112</v>
      </c>
      <c r="M32" s="1">
        <v>25</v>
      </c>
      <c r="N32" s="1">
        <v>41250</v>
      </c>
      <c r="O32" s="1">
        <v>1100</v>
      </c>
      <c r="P32" s="1">
        <v>200</v>
      </c>
      <c r="Q32" s="8"/>
      <c r="R32" s="8"/>
      <c r="S32" s="15">
        <v>44.5</v>
      </c>
      <c r="T32" s="12">
        <v>44.5</v>
      </c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3"/>
      <c r="AH32" s="12">
        <v>28.5</v>
      </c>
      <c r="AI32" s="12">
        <v>28.5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3"/>
      <c r="AW32" s="1">
        <v>3</v>
      </c>
      <c r="AX32" s="1">
        <v>3</v>
      </c>
    </row>
    <row r="33" spans="2:57" ht="15.75" customHeight="1" x14ac:dyDescent="0.25">
      <c r="B33" s="1" t="s">
        <v>111</v>
      </c>
      <c r="C33" s="1">
        <v>440</v>
      </c>
      <c r="D33" s="1">
        <v>49</v>
      </c>
      <c r="E33" s="1">
        <v>41.81</v>
      </c>
      <c r="F33" s="1">
        <v>-0.31</v>
      </c>
      <c r="G33" s="4">
        <v>10.52</v>
      </c>
      <c r="H33" s="4">
        <v>11.29</v>
      </c>
      <c r="I33" s="4"/>
      <c r="J33" s="4"/>
      <c r="L33" s="1" t="s">
        <v>114</v>
      </c>
      <c r="M33" s="1">
        <v>30</v>
      </c>
      <c r="N33" s="1">
        <v>45000</v>
      </c>
      <c r="O33" s="1">
        <v>1100</v>
      </c>
      <c r="P33" s="1">
        <v>195</v>
      </c>
      <c r="Q33" s="5">
        <v>90192</v>
      </c>
      <c r="R33" s="29" t="s">
        <v>62</v>
      </c>
      <c r="S33" s="15">
        <v>50</v>
      </c>
      <c r="T33" s="12">
        <f>S33</f>
        <v>50</v>
      </c>
      <c r="U33" s="12">
        <f>T33</f>
        <v>50</v>
      </c>
      <c r="V33" s="12">
        <f>U33</f>
        <v>50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3"/>
      <c r="AH33" s="12">
        <v>32</v>
      </c>
      <c r="AI33" s="12">
        <v>32</v>
      </c>
      <c r="AJ33" s="12">
        <v>32</v>
      </c>
      <c r="AK33" s="12">
        <v>32</v>
      </c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3"/>
      <c r="AW33" s="1">
        <v>2</v>
      </c>
      <c r="AX33" s="1">
        <v>2</v>
      </c>
      <c r="AY33" s="1">
        <v>2</v>
      </c>
      <c r="AZ33" s="1">
        <v>2</v>
      </c>
    </row>
    <row r="34" spans="2:57" ht="15.75" customHeight="1" x14ac:dyDescent="0.25">
      <c r="B34" s="1" t="s">
        <v>113</v>
      </c>
      <c r="C34" s="1">
        <v>540</v>
      </c>
      <c r="D34" s="1">
        <v>49.8</v>
      </c>
      <c r="E34" s="1">
        <v>42</v>
      </c>
      <c r="F34" s="1">
        <v>-0.31</v>
      </c>
      <c r="G34" s="4">
        <v>12.86</v>
      </c>
      <c r="H34" s="4">
        <v>13.66</v>
      </c>
      <c r="I34" s="4"/>
      <c r="J34" s="4"/>
      <c r="L34" s="1" t="s">
        <v>116</v>
      </c>
      <c r="M34" s="1">
        <v>30</v>
      </c>
      <c r="N34" s="1">
        <v>49500</v>
      </c>
      <c r="O34" s="1">
        <v>1100</v>
      </c>
      <c r="P34" s="1">
        <v>200</v>
      </c>
      <c r="Q34" s="8"/>
      <c r="R34" s="8"/>
      <c r="S34" s="15">
        <v>40</v>
      </c>
      <c r="T34" s="12">
        <v>40</v>
      </c>
      <c r="U34" s="12">
        <v>40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3"/>
      <c r="AH34" s="12">
        <v>26</v>
      </c>
      <c r="AI34" s="12">
        <v>26</v>
      </c>
      <c r="AJ34" s="12">
        <v>26</v>
      </c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3"/>
      <c r="AW34" s="1">
        <v>2</v>
      </c>
      <c r="AX34" s="1">
        <v>2</v>
      </c>
      <c r="AY34" s="1">
        <v>2</v>
      </c>
    </row>
    <row r="35" spans="2:57" ht="15.75" customHeight="1" x14ac:dyDescent="0.25">
      <c r="B35" s="1" t="s">
        <v>115</v>
      </c>
      <c r="C35" s="1">
        <v>545</v>
      </c>
      <c r="D35" s="1">
        <v>50</v>
      </c>
      <c r="E35" s="1">
        <v>42.2</v>
      </c>
      <c r="F35" s="1">
        <v>-0.31</v>
      </c>
      <c r="G35" s="4">
        <v>12.91</v>
      </c>
      <c r="H35" s="4">
        <v>13.72</v>
      </c>
      <c r="I35" s="4"/>
      <c r="J35" s="4"/>
      <c r="L35" s="1" t="s">
        <v>118</v>
      </c>
      <c r="M35" s="1">
        <v>30</v>
      </c>
      <c r="N35" s="1">
        <v>45000</v>
      </c>
      <c r="O35" s="1">
        <v>1100</v>
      </c>
      <c r="P35" s="1">
        <v>200</v>
      </c>
      <c r="Q35" s="5"/>
      <c r="R35" s="5"/>
      <c r="S35" s="15">
        <v>44.5</v>
      </c>
      <c r="T35" s="12">
        <v>44.5</v>
      </c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3"/>
      <c r="AH35" s="12">
        <v>28.5</v>
      </c>
      <c r="AI35" s="12">
        <v>28.5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3"/>
      <c r="AW35" s="1">
        <v>3</v>
      </c>
      <c r="AX35" s="1">
        <v>3</v>
      </c>
    </row>
    <row r="36" spans="2:57" ht="15.75" customHeight="1" x14ac:dyDescent="0.25">
      <c r="B36" s="14" t="s">
        <v>117</v>
      </c>
      <c r="C36" s="1">
        <v>555</v>
      </c>
      <c r="D36" s="1">
        <v>50.4</v>
      </c>
      <c r="E36" s="1">
        <v>42.6</v>
      </c>
      <c r="F36" s="1">
        <v>-0.31</v>
      </c>
      <c r="G36" s="4">
        <v>13.03</v>
      </c>
      <c r="H36" s="4">
        <v>13.84</v>
      </c>
      <c r="I36" s="4"/>
      <c r="J36" s="4"/>
      <c r="L36" s="1" t="s">
        <v>120</v>
      </c>
      <c r="M36" s="1">
        <v>3</v>
      </c>
      <c r="N36" s="1">
        <v>4500</v>
      </c>
      <c r="O36" s="1">
        <v>600</v>
      </c>
      <c r="P36" s="1">
        <v>60</v>
      </c>
      <c r="Q36" s="8"/>
      <c r="R36" s="8"/>
      <c r="S36" s="15">
        <v>15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3"/>
      <c r="AH36" s="12">
        <v>12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3"/>
      <c r="AW36" s="1">
        <v>1</v>
      </c>
    </row>
    <row r="37" spans="2:57" ht="15.75" customHeight="1" x14ac:dyDescent="0.25">
      <c r="B37" s="14" t="s">
        <v>119</v>
      </c>
      <c r="C37" s="1">
        <v>450</v>
      </c>
      <c r="D37" s="1">
        <v>49.3</v>
      </c>
      <c r="E37" s="1">
        <v>42.1</v>
      </c>
      <c r="F37" s="1">
        <v>-0.31</v>
      </c>
      <c r="G37" s="4">
        <v>10.69</v>
      </c>
      <c r="H37" s="4">
        <v>11.35</v>
      </c>
      <c r="I37" s="4"/>
      <c r="J37" s="4"/>
      <c r="L37" s="1" t="s">
        <v>122</v>
      </c>
      <c r="M37" s="1">
        <v>50</v>
      </c>
      <c r="N37" s="1">
        <v>82500</v>
      </c>
      <c r="O37" s="1">
        <v>1100</v>
      </c>
      <c r="P37" s="1">
        <v>439</v>
      </c>
      <c r="Q37" s="5"/>
      <c r="R37" s="5"/>
      <c r="S37" s="15">
        <v>44.5</v>
      </c>
      <c r="T37" s="12">
        <v>44.5</v>
      </c>
      <c r="U37" s="12">
        <v>44.5</v>
      </c>
      <c r="V37" s="12">
        <v>44.5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12">
        <v>28.5</v>
      </c>
      <c r="AI37" s="12">
        <v>28.5</v>
      </c>
      <c r="AJ37" s="12">
        <v>28.5</v>
      </c>
      <c r="AK37" s="12">
        <v>28.5</v>
      </c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3"/>
      <c r="AW37" s="1">
        <v>3</v>
      </c>
      <c r="AX37" s="1">
        <v>3</v>
      </c>
      <c r="AY37" s="1">
        <v>3</v>
      </c>
      <c r="AZ37" s="1">
        <v>3</v>
      </c>
    </row>
    <row r="38" spans="2:57" ht="15.75" customHeight="1" x14ac:dyDescent="0.25">
      <c r="B38" s="1" t="s">
        <v>121</v>
      </c>
      <c r="C38" s="1">
        <v>360</v>
      </c>
      <c r="D38" s="1">
        <v>47.2</v>
      </c>
      <c r="E38" s="1">
        <v>38.4</v>
      </c>
      <c r="F38" s="1">
        <v>-0.31</v>
      </c>
      <c r="G38" s="4">
        <v>9.3800000000000008</v>
      </c>
      <c r="H38" s="4">
        <v>9.7799999999999994</v>
      </c>
      <c r="I38" s="4"/>
      <c r="J38" s="4"/>
      <c r="L38" s="1" t="s">
        <v>124</v>
      </c>
      <c r="M38" s="1">
        <v>5</v>
      </c>
      <c r="N38" s="1">
        <v>8250</v>
      </c>
      <c r="O38" s="1">
        <v>600</v>
      </c>
      <c r="P38" s="1">
        <v>110</v>
      </c>
      <c r="Q38" s="8"/>
      <c r="R38" s="8"/>
      <c r="S38" s="15">
        <v>15</v>
      </c>
      <c r="T38" s="12">
        <v>15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"/>
      <c r="AH38" s="12">
        <v>12</v>
      </c>
      <c r="AI38" s="12">
        <v>12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3"/>
      <c r="AW38" s="1">
        <v>1</v>
      </c>
      <c r="AX38" s="1">
        <v>1</v>
      </c>
    </row>
    <row r="39" spans="2:57" ht="15.75" customHeight="1" x14ac:dyDescent="0.25">
      <c r="B39" s="1" t="s">
        <v>123</v>
      </c>
      <c r="C39" s="1">
        <v>400</v>
      </c>
      <c r="D39" s="1">
        <v>51.4</v>
      </c>
      <c r="E39" s="1">
        <v>42</v>
      </c>
      <c r="F39" s="1">
        <v>-0.31</v>
      </c>
      <c r="G39" s="4">
        <v>9.35</v>
      </c>
      <c r="H39" s="4">
        <v>9.8699999999999992</v>
      </c>
      <c r="I39" s="4"/>
      <c r="J39" s="4"/>
      <c r="L39" s="1" t="s">
        <v>126</v>
      </c>
      <c r="M39" s="1">
        <v>5</v>
      </c>
      <c r="N39" s="1">
        <v>8250</v>
      </c>
      <c r="O39" s="1">
        <v>600</v>
      </c>
      <c r="P39" s="1">
        <v>110</v>
      </c>
      <c r="Q39" s="5"/>
      <c r="R39" s="5"/>
      <c r="S39" s="15">
        <v>15</v>
      </c>
      <c r="T39" s="12">
        <f>S39</f>
        <v>15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3"/>
      <c r="AH39" s="12">
        <v>12</v>
      </c>
      <c r="AI39" s="12">
        <v>12</v>
      </c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3"/>
      <c r="AW39" s="1">
        <v>1</v>
      </c>
      <c r="AX39" s="1">
        <v>1</v>
      </c>
    </row>
    <row r="40" spans="2:57" ht="15.75" customHeight="1" x14ac:dyDescent="0.25">
      <c r="B40" s="14" t="s">
        <v>125</v>
      </c>
      <c r="C40" s="1">
        <v>560</v>
      </c>
      <c r="D40" s="1">
        <v>50.19</v>
      </c>
      <c r="E40" s="1">
        <v>41.8</v>
      </c>
      <c r="F40" s="1">
        <v>-0.246</v>
      </c>
      <c r="G40" s="4">
        <v>13.4</v>
      </c>
      <c r="H40" s="4">
        <v>14.25</v>
      </c>
      <c r="I40" s="4"/>
      <c r="J40" s="4"/>
      <c r="L40" s="1" t="s">
        <v>128</v>
      </c>
      <c r="M40" s="1">
        <v>5</v>
      </c>
      <c r="N40" s="1">
        <v>8250</v>
      </c>
      <c r="O40" s="1">
        <v>600</v>
      </c>
      <c r="P40" s="1">
        <v>110</v>
      </c>
      <c r="Q40" s="8"/>
      <c r="R40" s="8"/>
      <c r="S40" s="15">
        <v>15</v>
      </c>
      <c r="T40" s="12">
        <v>15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12">
        <v>12</v>
      </c>
      <c r="AI40" s="12">
        <v>12</v>
      </c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3"/>
      <c r="AW40" s="1">
        <v>1</v>
      </c>
      <c r="AX40" s="1">
        <v>1</v>
      </c>
    </row>
    <row r="41" spans="2:57" ht="15.75" customHeight="1" x14ac:dyDescent="0.25">
      <c r="B41" s="14" t="s">
        <v>127</v>
      </c>
      <c r="C41" s="1">
        <v>585</v>
      </c>
      <c r="D41" s="1">
        <v>52.7</v>
      </c>
      <c r="E41" s="1">
        <v>44.04</v>
      </c>
      <c r="F41" s="1">
        <v>-0.25</v>
      </c>
      <c r="G41" s="4">
        <v>13.3</v>
      </c>
      <c r="H41" s="4">
        <v>14.05</v>
      </c>
      <c r="I41" s="4"/>
      <c r="J41" s="4"/>
      <c r="L41" s="1" t="s">
        <v>130</v>
      </c>
      <c r="M41" s="1">
        <v>60</v>
      </c>
      <c r="N41" s="1">
        <v>72000</v>
      </c>
      <c r="O41" s="1">
        <v>1100</v>
      </c>
      <c r="P41" s="1">
        <v>526</v>
      </c>
      <c r="Q41" s="5"/>
      <c r="R41" s="5"/>
      <c r="S41" s="15">
        <v>44.5</v>
      </c>
      <c r="T41" s="12">
        <v>44.5</v>
      </c>
      <c r="U41" s="12">
        <v>44.5</v>
      </c>
      <c r="V41" s="12">
        <v>44.5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3"/>
      <c r="AH41" s="12">
        <v>28.5</v>
      </c>
      <c r="AI41" s="12">
        <v>28.5</v>
      </c>
      <c r="AJ41" s="12">
        <v>28.5</v>
      </c>
      <c r="AK41" s="12">
        <v>28.5</v>
      </c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3"/>
      <c r="AW41" s="1">
        <v>2</v>
      </c>
      <c r="AX41" s="1">
        <v>2</v>
      </c>
      <c r="AY41" s="1">
        <v>2</v>
      </c>
      <c r="AZ41" s="1">
        <v>2</v>
      </c>
    </row>
    <row r="42" spans="2:57" ht="15.75" customHeight="1" x14ac:dyDescent="0.25">
      <c r="B42" s="1" t="s">
        <v>129</v>
      </c>
      <c r="C42" s="4">
        <v>610</v>
      </c>
      <c r="D42" s="4">
        <v>48.74</v>
      </c>
      <c r="E42" s="4">
        <v>40.56</v>
      </c>
      <c r="F42" s="4">
        <v>-0.24</v>
      </c>
      <c r="G42" s="4">
        <v>15.04</v>
      </c>
      <c r="H42" s="4">
        <v>15.93</v>
      </c>
      <c r="I42" s="4"/>
      <c r="J42" s="4"/>
      <c r="L42" s="1" t="s">
        <v>132</v>
      </c>
      <c r="M42" s="1">
        <v>75</v>
      </c>
      <c r="N42" s="1">
        <v>126000</v>
      </c>
      <c r="O42" s="1">
        <v>1100</v>
      </c>
      <c r="P42" s="1">
        <v>195</v>
      </c>
      <c r="Q42" s="16"/>
      <c r="R42" s="16"/>
      <c r="S42" s="15">
        <v>40</v>
      </c>
      <c r="T42" s="12">
        <v>40</v>
      </c>
      <c r="U42" s="12">
        <v>40</v>
      </c>
      <c r="V42" s="12">
        <v>40</v>
      </c>
      <c r="W42" s="12">
        <v>40</v>
      </c>
      <c r="X42" s="12">
        <v>40</v>
      </c>
      <c r="Y42" s="12">
        <v>40</v>
      </c>
      <c r="Z42" s="12">
        <v>40</v>
      </c>
      <c r="AA42" s="12">
        <v>40</v>
      </c>
      <c r="AB42" s="12"/>
      <c r="AC42" s="12"/>
      <c r="AD42" s="12"/>
      <c r="AE42" s="12"/>
      <c r="AF42" s="12"/>
      <c r="AG42" s="13"/>
      <c r="AH42" s="12">
        <v>26</v>
      </c>
      <c r="AI42" s="12">
        <v>26</v>
      </c>
      <c r="AJ42" s="12">
        <v>26</v>
      </c>
      <c r="AK42" s="12">
        <v>26</v>
      </c>
      <c r="AL42" s="12">
        <v>26</v>
      </c>
      <c r="AM42" s="12">
        <v>26</v>
      </c>
      <c r="AN42" s="12">
        <v>26</v>
      </c>
      <c r="AO42" s="12">
        <v>26</v>
      </c>
      <c r="AP42" s="12">
        <v>26</v>
      </c>
      <c r="AQ42" s="12">
        <v>26</v>
      </c>
      <c r="AR42" s="12"/>
      <c r="AS42" s="12"/>
      <c r="AT42" s="12"/>
      <c r="AU42" s="12"/>
      <c r="AV42" s="13"/>
      <c r="AW42" s="1">
        <v>2</v>
      </c>
      <c r="AX42" s="1">
        <v>2</v>
      </c>
      <c r="AY42" s="1">
        <v>2</v>
      </c>
      <c r="AZ42" s="1">
        <v>2</v>
      </c>
      <c r="BA42" s="1">
        <v>2</v>
      </c>
      <c r="BB42" s="1">
        <v>2</v>
      </c>
      <c r="BC42" s="1">
        <v>2</v>
      </c>
      <c r="BD42" s="1">
        <v>2</v>
      </c>
      <c r="BE42" s="1">
        <v>2</v>
      </c>
    </row>
    <row r="43" spans="2:57" ht="15.75" customHeight="1" x14ac:dyDescent="0.25">
      <c r="B43" s="1" t="s">
        <v>131</v>
      </c>
      <c r="C43" s="1">
        <v>590</v>
      </c>
      <c r="D43" s="1">
        <v>52.9</v>
      </c>
      <c r="E43" s="1">
        <v>44.15</v>
      </c>
      <c r="F43" s="1">
        <v>-0.25900000000000001</v>
      </c>
      <c r="G43" s="1">
        <v>13.37</v>
      </c>
      <c r="H43" s="1">
        <v>14.03</v>
      </c>
      <c r="L43" s="1" t="s">
        <v>134</v>
      </c>
      <c r="M43" s="1">
        <v>7</v>
      </c>
      <c r="N43" s="1">
        <v>11550</v>
      </c>
      <c r="O43" s="1">
        <v>600</v>
      </c>
      <c r="P43" s="1">
        <v>120</v>
      </c>
      <c r="Q43" s="5"/>
      <c r="R43" s="5"/>
      <c r="S43" s="15">
        <v>15</v>
      </c>
      <c r="T43" s="12">
        <v>30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3"/>
      <c r="AH43" s="12">
        <v>12.5</v>
      </c>
      <c r="AI43" s="12">
        <v>25</v>
      </c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3"/>
      <c r="AW43" s="1">
        <v>1</v>
      </c>
      <c r="AX43" s="1">
        <v>2</v>
      </c>
    </row>
    <row r="44" spans="2:57" ht="15.75" customHeight="1" x14ac:dyDescent="0.25">
      <c r="B44" s="1" t="s">
        <v>133</v>
      </c>
      <c r="C44" s="1">
        <v>375</v>
      </c>
      <c r="D44" s="1">
        <v>47.43</v>
      </c>
      <c r="E44" s="1">
        <v>38.869999999999997</v>
      </c>
      <c r="F44" s="1">
        <v>-0.3</v>
      </c>
      <c r="G44" s="4"/>
      <c r="H44" s="4"/>
      <c r="I44" s="4"/>
      <c r="J44" s="4"/>
      <c r="L44" s="1" t="s">
        <v>136</v>
      </c>
      <c r="M44" s="1">
        <v>7</v>
      </c>
      <c r="N44" s="1">
        <v>11550</v>
      </c>
      <c r="O44" s="1">
        <v>600</v>
      </c>
      <c r="P44" s="1">
        <v>120</v>
      </c>
      <c r="Q44" s="8"/>
      <c r="R44" s="8"/>
      <c r="S44" s="15">
        <v>15</v>
      </c>
      <c r="T44" s="12">
        <v>30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3"/>
      <c r="AH44" s="12">
        <v>12.5</v>
      </c>
      <c r="AI44" s="12">
        <v>25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3"/>
      <c r="AW44" s="1">
        <v>1</v>
      </c>
      <c r="AX44" s="1">
        <v>2</v>
      </c>
    </row>
    <row r="45" spans="2:57" ht="15.75" customHeight="1" x14ac:dyDescent="0.25">
      <c r="B45" s="1" t="s">
        <v>135</v>
      </c>
      <c r="C45" s="1">
        <v>400</v>
      </c>
      <c r="D45" s="1">
        <v>48.93</v>
      </c>
      <c r="E45" s="1">
        <v>40.61</v>
      </c>
      <c r="F45" s="1">
        <v>-0.3</v>
      </c>
      <c r="G45" s="4">
        <v>9.85</v>
      </c>
      <c r="H45" s="4">
        <v>10.36</v>
      </c>
      <c r="I45" s="4"/>
      <c r="J45" s="4"/>
      <c r="L45" s="1" t="s">
        <v>138</v>
      </c>
      <c r="M45" s="1">
        <v>8</v>
      </c>
      <c r="N45" s="1">
        <v>13200</v>
      </c>
      <c r="O45" s="1">
        <v>600</v>
      </c>
      <c r="P45" s="1">
        <v>120</v>
      </c>
      <c r="Q45" s="5"/>
      <c r="R45" s="5"/>
      <c r="S45" s="15">
        <v>15.6</v>
      </c>
      <c r="T45" s="12">
        <v>15.6</v>
      </c>
      <c r="U45" s="12">
        <v>15.6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3"/>
      <c r="AH45" s="12">
        <v>10</v>
      </c>
      <c r="AI45" s="12">
        <v>10</v>
      </c>
      <c r="AJ45" s="12">
        <v>10</v>
      </c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3"/>
      <c r="AW45" s="1">
        <v>1</v>
      </c>
      <c r="AX45" s="1">
        <v>1</v>
      </c>
      <c r="AY45" s="1">
        <v>1</v>
      </c>
    </row>
    <row r="46" spans="2:57" ht="15.75" customHeight="1" x14ac:dyDescent="0.25">
      <c r="B46" s="1" t="s">
        <v>137</v>
      </c>
      <c r="C46" s="4">
        <v>700</v>
      </c>
      <c r="D46" s="4">
        <v>50.42</v>
      </c>
      <c r="E46" s="4">
        <v>42.41</v>
      </c>
      <c r="F46" s="4">
        <v>-0.24</v>
      </c>
      <c r="G46" s="4">
        <v>16.510000000000002</v>
      </c>
      <c r="H46" s="4">
        <v>17.63</v>
      </c>
      <c r="I46" s="4"/>
      <c r="J46" s="4"/>
      <c r="L46" s="1" t="s">
        <v>140</v>
      </c>
      <c r="M46" s="1">
        <v>9</v>
      </c>
      <c r="N46" s="1">
        <v>13500</v>
      </c>
      <c r="O46" s="1">
        <v>600</v>
      </c>
      <c r="P46" s="1">
        <v>120</v>
      </c>
      <c r="Q46" s="8"/>
      <c r="R46" s="8"/>
      <c r="S46" s="15">
        <v>15</v>
      </c>
      <c r="T46" s="12">
        <v>30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3"/>
      <c r="AH46" s="12">
        <v>12.5</v>
      </c>
      <c r="AI46" s="12">
        <v>25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3"/>
      <c r="AW46" s="1">
        <v>1</v>
      </c>
      <c r="AX46" s="1">
        <v>2</v>
      </c>
    </row>
    <row r="47" spans="2:57" ht="15.75" customHeight="1" x14ac:dyDescent="0.25">
      <c r="B47" s="1" t="s">
        <v>139</v>
      </c>
      <c r="C47" s="4">
        <v>570</v>
      </c>
      <c r="D47" s="4">
        <v>51.07</v>
      </c>
      <c r="E47" s="4">
        <v>42.29</v>
      </c>
      <c r="F47" s="4">
        <v>-0.25</v>
      </c>
      <c r="G47" s="4">
        <v>13.48</v>
      </c>
      <c r="H47" s="4">
        <v>14.25</v>
      </c>
      <c r="I47" s="4"/>
      <c r="J47" s="4"/>
      <c r="L47" s="1" t="s">
        <v>142</v>
      </c>
      <c r="M47" s="1">
        <v>3.6</v>
      </c>
      <c r="N47" s="1">
        <v>5500</v>
      </c>
      <c r="O47" s="1">
        <v>600</v>
      </c>
      <c r="P47" s="1">
        <v>100</v>
      </c>
      <c r="Q47" s="5"/>
      <c r="R47" s="5"/>
      <c r="S47" s="15">
        <v>16.3</v>
      </c>
      <c r="T47" s="12">
        <v>16.3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3"/>
      <c r="AH47" s="12">
        <v>13</v>
      </c>
      <c r="AI47" s="12">
        <v>13</v>
      </c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3"/>
      <c r="AW47" s="1">
        <v>1</v>
      </c>
      <c r="AX47" s="1">
        <v>1</v>
      </c>
    </row>
    <row r="48" spans="2:57" ht="15.75" customHeight="1" x14ac:dyDescent="0.25">
      <c r="B48" s="1" t="s">
        <v>141</v>
      </c>
      <c r="C48" s="4">
        <v>585</v>
      </c>
      <c r="D48" s="1">
        <v>51.67</v>
      </c>
      <c r="E48" s="4">
        <v>42.74</v>
      </c>
      <c r="F48" s="4">
        <v>-0.25</v>
      </c>
      <c r="G48" s="4">
        <v>13.69</v>
      </c>
      <c r="H48" s="4">
        <v>14.43</v>
      </c>
      <c r="I48" s="4"/>
      <c r="J48" s="4"/>
      <c r="L48" s="1" t="s">
        <v>144</v>
      </c>
      <c r="M48" s="1">
        <v>5</v>
      </c>
      <c r="N48" s="1">
        <v>7500</v>
      </c>
      <c r="O48" s="1">
        <v>600</v>
      </c>
      <c r="P48" s="1">
        <v>100</v>
      </c>
      <c r="Q48" s="16"/>
      <c r="R48" s="16"/>
      <c r="S48" s="15">
        <v>16.3</v>
      </c>
      <c r="T48" s="12">
        <v>16.3</v>
      </c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3"/>
      <c r="AH48" s="12">
        <v>13</v>
      </c>
      <c r="AI48" s="12">
        <v>13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3"/>
      <c r="AW48" s="1">
        <v>1</v>
      </c>
      <c r="AX48" s="1">
        <v>1</v>
      </c>
    </row>
    <row r="49" spans="2:58" ht="15.75" customHeight="1" x14ac:dyDescent="0.25">
      <c r="B49" s="1" t="s">
        <v>394</v>
      </c>
      <c r="C49" s="4">
        <v>615</v>
      </c>
      <c r="D49" s="4">
        <v>48.17</v>
      </c>
      <c r="E49" s="4">
        <v>40.35</v>
      </c>
      <c r="F49" s="4">
        <v>-0.25</v>
      </c>
      <c r="G49" s="4">
        <v>15.25</v>
      </c>
      <c r="H49" s="4">
        <v>16.14</v>
      </c>
      <c r="I49" s="4"/>
      <c r="J49" s="4"/>
      <c r="L49" s="1" t="s">
        <v>146</v>
      </c>
      <c r="M49" s="1">
        <v>7</v>
      </c>
      <c r="N49" s="1">
        <v>13500</v>
      </c>
      <c r="O49" s="1">
        <v>600</v>
      </c>
      <c r="P49" s="1">
        <v>120</v>
      </c>
      <c r="Q49" s="5"/>
      <c r="R49" s="5"/>
      <c r="S49" s="15">
        <v>16.3</v>
      </c>
      <c r="T49" s="12">
        <v>16.3</v>
      </c>
      <c r="U49" s="12">
        <v>16.3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3"/>
      <c r="AH49" s="12">
        <v>13</v>
      </c>
      <c r="AI49" s="12">
        <v>13</v>
      </c>
      <c r="AJ49" s="12">
        <v>13</v>
      </c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3"/>
      <c r="AW49" s="1">
        <v>1</v>
      </c>
      <c r="AX49" s="1">
        <v>1</v>
      </c>
      <c r="AY49" s="1">
        <v>1</v>
      </c>
    </row>
    <row r="50" spans="2:58" ht="15.75" customHeight="1" x14ac:dyDescent="0.25">
      <c r="B50" s="1" t="s">
        <v>143</v>
      </c>
      <c r="C50" s="1">
        <v>590</v>
      </c>
      <c r="D50" s="1">
        <v>52.49</v>
      </c>
      <c r="E50" s="1">
        <v>44.21</v>
      </c>
      <c r="F50" s="1">
        <v>-0.25</v>
      </c>
      <c r="G50" s="1">
        <v>13.35</v>
      </c>
      <c r="H50" s="1">
        <v>14.05</v>
      </c>
      <c r="L50" s="1" t="s">
        <v>148</v>
      </c>
      <c r="M50" s="1">
        <v>9</v>
      </c>
      <c r="N50" s="1">
        <v>13500</v>
      </c>
      <c r="O50" s="1">
        <v>600</v>
      </c>
      <c r="P50" s="1">
        <v>120</v>
      </c>
      <c r="Q50" s="16"/>
      <c r="R50" s="16"/>
      <c r="S50" s="15">
        <v>16.3</v>
      </c>
      <c r="T50" s="12">
        <v>16.3</v>
      </c>
      <c r="U50" s="12">
        <v>16.3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3"/>
      <c r="AH50" s="12">
        <v>13</v>
      </c>
      <c r="AI50" s="12">
        <v>13</v>
      </c>
      <c r="AJ50" s="12">
        <v>13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3"/>
      <c r="AW50" s="1">
        <v>1</v>
      </c>
      <c r="AX50" s="1">
        <v>1</v>
      </c>
      <c r="AY50" s="1">
        <v>1</v>
      </c>
    </row>
    <row r="51" spans="2:58" ht="15.75" customHeight="1" x14ac:dyDescent="0.25">
      <c r="B51" s="1" t="s">
        <v>145</v>
      </c>
      <c r="C51" s="4">
        <v>585</v>
      </c>
      <c r="D51" s="4">
        <v>51.6</v>
      </c>
      <c r="E51" s="4">
        <v>43.4</v>
      </c>
      <c r="F51" s="4">
        <v>-0.26</v>
      </c>
      <c r="G51" s="4">
        <v>13.48</v>
      </c>
      <c r="H51" s="4">
        <v>14.29</v>
      </c>
      <c r="I51" s="4"/>
      <c r="J51" s="4"/>
      <c r="L51" s="1" t="s">
        <v>150</v>
      </c>
      <c r="M51" s="1">
        <v>8</v>
      </c>
      <c r="N51" s="1">
        <v>10560</v>
      </c>
      <c r="O51" s="1">
        <v>550</v>
      </c>
      <c r="P51" s="1">
        <v>100</v>
      </c>
      <c r="Q51" s="5"/>
      <c r="R51" s="5"/>
      <c r="S51" s="15">
        <v>32</v>
      </c>
      <c r="T51" s="12">
        <v>16</v>
      </c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3"/>
      <c r="AH51" s="12">
        <v>25</v>
      </c>
      <c r="AI51" s="12">
        <v>12.5</v>
      </c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3"/>
      <c r="AW51" s="1">
        <v>2</v>
      </c>
      <c r="AX51" s="1">
        <v>1</v>
      </c>
    </row>
    <row r="52" spans="2:58" ht="15.75" customHeight="1" x14ac:dyDescent="0.25">
      <c r="B52" s="1" t="s">
        <v>147</v>
      </c>
      <c r="C52" s="1">
        <v>610</v>
      </c>
      <c r="D52" s="1">
        <v>48.72</v>
      </c>
      <c r="E52" s="1">
        <v>40.590000000000003</v>
      </c>
      <c r="F52" s="1">
        <v>-0.23</v>
      </c>
      <c r="G52" s="1">
        <v>15.03</v>
      </c>
      <c r="H52" s="1">
        <v>15.94</v>
      </c>
      <c r="L52" s="1" t="s">
        <v>152</v>
      </c>
      <c r="M52" s="1">
        <v>17</v>
      </c>
      <c r="N52" s="1">
        <v>25500</v>
      </c>
      <c r="O52" s="1">
        <v>1100</v>
      </c>
      <c r="P52" s="1">
        <v>250</v>
      </c>
      <c r="Q52" s="8"/>
      <c r="R52" s="8"/>
      <c r="S52" s="15">
        <v>32</v>
      </c>
      <c r="T52" s="12">
        <v>32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3"/>
      <c r="AH52" s="12">
        <v>25</v>
      </c>
      <c r="AI52" s="12">
        <v>25</v>
      </c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3"/>
      <c r="AW52" s="1">
        <v>2</v>
      </c>
      <c r="AX52" s="1">
        <v>2</v>
      </c>
    </row>
    <row r="53" spans="2:58" ht="15.75" customHeight="1" x14ac:dyDescent="0.25">
      <c r="B53" s="1" t="s">
        <v>149</v>
      </c>
      <c r="C53" s="4">
        <v>670</v>
      </c>
      <c r="D53" s="4">
        <v>45.8</v>
      </c>
      <c r="E53" s="4">
        <v>38.700000000000003</v>
      </c>
      <c r="F53" s="4">
        <v>-0.27400000000000002</v>
      </c>
      <c r="G53" s="4">
        <v>17.32</v>
      </c>
      <c r="H53" s="4">
        <v>18.55</v>
      </c>
      <c r="I53" s="4"/>
      <c r="J53" s="4"/>
      <c r="L53" s="1" t="s">
        <v>154</v>
      </c>
      <c r="M53" s="1">
        <v>25</v>
      </c>
      <c r="N53" s="1">
        <v>37500</v>
      </c>
      <c r="O53" s="1">
        <v>1100</v>
      </c>
      <c r="P53" s="1">
        <v>250</v>
      </c>
      <c r="Q53" s="5"/>
      <c r="R53" s="5"/>
      <c r="S53" s="15">
        <v>32</v>
      </c>
      <c r="T53" s="12">
        <v>48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3"/>
      <c r="AH53" s="12">
        <v>25</v>
      </c>
      <c r="AI53" s="12">
        <v>37.5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3"/>
      <c r="AW53" s="1">
        <v>2</v>
      </c>
      <c r="AX53" s="1">
        <v>3</v>
      </c>
    </row>
    <row r="54" spans="2:58" ht="15.75" customHeight="1" x14ac:dyDescent="0.25">
      <c r="B54" s="1" t="s">
        <v>151</v>
      </c>
      <c r="C54" s="4">
        <v>690</v>
      </c>
      <c r="D54" s="4">
        <v>47.8</v>
      </c>
      <c r="E54" s="4">
        <v>40</v>
      </c>
      <c r="F54" s="4">
        <v>-0.23</v>
      </c>
      <c r="G54" s="4">
        <v>17.25</v>
      </c>
      <c r="H54" s="4">
        <v>18.260000000000002</v>
      </c>
      <c r="I54" s="4"/>
      <c r="J54" s="4"/>
      <c r="L54" s="1" t="s">
        <v>156</v>
      </c>
      <c r="M54" s="1">
        <v>4.2</v>
      </c>
      <c r="N54" s="1">
        <v>5880</v>
      </c>
      <c r="O54" s="1">
        <v>550</v>
      </c>
      <c r="P54" s="1">
        <v>100</v>
      </c>
      <c r="Q54" s="8"/>
      <c r="R54" s="8"/>
      <c r="S54" s="15">
        <v>16</v>
      </c>
      <c r="T54" s="12">
        <v>16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3"/>
      <c r="AH54" s="12">
        <v>12.5</v>
      </c>
      <c r="AI54" s="12">
        <v>12.5</v>
      </c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3"/>
      <c r="AW54" s="1">
        <v>1</v>
      </c>
      <c r="AX54" s="1">
        <v>1</v>
      </c>
    </row>
    <row r="55" spans="2:58" ht="15.75" customHeight="1" x14ac:dyDescent="0.25">
      <c r="B55" s="1" t="s">
        <v>153</v>
      </c>
      <c r="C55" s="4">
        <v>700</v>
      </c>
      <c r="D55" s="4">
        <v>49.77</v>
      </c>
      <c r="E55" s="4">
        <v>41.78</v>
      </c>
      <c r="F55" s="4">
        <v>-0.22</v>
      </c>
      <c r="G55" s="4">
        <v>16.760000000000002</v>
      </c>
      <c r="H55" s="4">
        <v>17.809999999999999</v>
      </c>
      <c r="I55" s="4"/>
      <c r="J55" s="4"/>
      <c r="L55" s="1" t="s">
        <v>388</v>
      </c>
      <c r="M55" s="1">
        <v>6</v>
      </c>
      <c r="N55" s="1">
        <f>Table_2[[#This Row],[Pnom]]*1.35</f>
        <v>8.1000000000000014</v>
      </c>
      <c r="O55" s="1">
        <v>550</v>
      </c>
      <c r="P55" s="1">
        <v>100</v>
      </c>
      <c r="Q55" s="5"/>
      <c r="R55" s="5"/>
      <c r="S55" s="6">
        <v>16</v>
      </c>
      <c r="T55" s="1">
        <v>16</v>
      </c>
      <c r="AG55" s="7"/>
      <c r="AH55" s="1">
        <v>12.5</v>
      </c>
      <c r="AI55" s="1">
        <v>12.5</v>
      </c>
      <c r="AV55" s="7"/>
      <c r="AW55" s="1">
        <v>1</v>
      </c>
      <c r="AX55" s="1">
        <v>1</v>
      </c>
    </row>
    <row r="56" spans="2:58" ht="15.75" customHeight="1" x14ac:dyDescent="0.25">
      <c r="B56" s="1" t="s">
        <v>155</v>
      </c>
      <c r="C56" s="4">
        <v>700</v>
      </c>
      <c r="D56" s="4">
        <v>48.2</v>
      </c>
      <c r="E56" s="4">
        <v>40.4</v>
      </c>
      <c r="F56" s="4">
        <v>-0.23</v>
      </c>
      <c r="G56" s="4">
        <v>17.329999999999998</v>
      </c>
      <c r="H56" s="4">
        <v>18.34</v>
      </c>
      <c r="I56" s="4"/>
      <c r="J56" s="4"/>
      <c r="L56" s="1" t="s">
        <v>158</v>
      </c>
      <c r="M56" s="1">
        <v>6</v>
      </c>
      <c r="N56" s="1">
        <v>12000</v>
      </c>
      <c r="O56" s="1">
        <v>550</v>
      </c>
      <c r="P56" s="1">
        <v>90</v>
      </c>
      <c r="Q56" s="5">
        <v>182198</v>
      </c>
      <c r="R56" s="5" t="s">
        <v>62</v>
      </c>
      <c r="S56" s="6">
        <v>27</v>
      </c>
      <c r="T56" s="1">
        <v>27</v>
      </c>
      <c r="AG56" s="7"/>
      <c r="AH56" s="1">
        <v>18</v>
      </c>
      <c r="AI56" s="1">
        <v>18</v>
      </c>
      <c r="AV56" s="7"/>
      <c r="AW56" s="1">
        <v>1</v>
      </c>
      <c r="AX56" s="1">
        <v>1</v>
      </c>
    </row>
    <row r="57" spans="2:58" ht="15.75" customHeight="1" x14ac:dyDescent="0.25">
      <c r="B57" s="1" t="s">
        <v>157</v>
      </c>
      <c r="C57" s="4">
        <v>600</v>
      </c>
      <c r="D57" s="4">
        <v>52.55</v>
      </c>
      <c r="E57" s="4">
        <v>44.54</v>
      </c>
      <c r="F57" s="4">
        <v>-0.24</v>
      </c>
      <c r="G57" s="4">
        <v>13.48</v>
      </c>
      <c r="H57" s="4">
        <v>14.25</v>
      </c>
      <c r="I57" s="4"/>
      <c r="J57" s="4"/>
      <c r="L57" s="1" t="s">
        <v>160</v>
      </c>
      <c r="M57" s="1">
        <v>7.5</v>
      </c>
      <c r="N57" s="1">
        <v>11520</v>
      </c>
      <c r="O57" s="1">
        <v>550</v>
      </c>
      <c r="P57" s="1">
        <v>150</v>
      </c>
      <c r="Q57" s="16"/>
      <c r="R57" s="16"/>
      <c r="S57" s="6">
        <v>40</v>
      </c>
      <c r="T57" s="1">
        <v>40</v>
      </c>
      <c r="AG57" s="7"/>
      <c r="AH57" s="1">
        <v>32</v>
      </c>
      <c r="AI57" s="1">
        <v>32</v>
      </c>
      <c r="AV57" s="7"/>
      <c r="AW57" s="1">
        <v>2</v>
      </c>
      <c r="AX57" s="1">
        <v>2</v>
      </c>
    </row>
    <row r="58" spans="2:58" ht="15.75" customHeight="1" x14ac:dyDescent="0.25">
      <c r="B58" s="1" t="s">
        <v>159</v>
      </c>
      <c r="C58" s="1">
        <v>610</v>
      </c>
      <c r="D58" s="1">
        <v>48.5</v>
      </c>
      <c r="E58" s="1">
        <v>40.5</v>
      </c>
      <c r="F58" s="1">
        <v>-0.24</v>
      </c>
      <c r="G58" s="1">
        <v>15.07</v>
      </c>
      <c r="H58" s="1">
        <v>15.88</v>
      </c>
      <c r="L58" s="1" t="s">
        <v>162</v>
      </c>
      <c r="M58" s="1">
        <v>100</v>
      </c>
      <c r="N58" s="1">
        <f>2*$M58*1000</f>
        <v>200000</v>
      </c>
      <c r="O58" s="1">
        <v>1100</v>
      </c>
      <c r="P58" s="1">
        <v>540</v>
      </c>
      <c r="Q58" s="11">
        <v>107282</v>
      </c>
      <c r="R58" s="11"/>
      <c r="S58" s="9">
        <v>40</v>
      </c>
      <c r="T58" s="1">
        <v>40</v>
      </c>
      <c r="U58" s="1">
        <v>40</v>
      </c>
      <c r="V58" s="1">
        <v>40</v>
      </c>
      <c r="W58" s="1">
        <v>40</v>
      </c>
      <c r="X58" s="1">
        <v>40</v>
      </c>
      <c r="Y58" s="1">
        <v>40</v>
      </c>
      <c r="Z58" s="1">
        <v>40</v>
      </c>
      <c r="AA58" s="1">
        <v>40</v>
      </c>
      <c r="AB58" s="1">
        <v>40</v>
      </c>
      <c r="AG58" s="10"/>
      <c r="AH58" s="1">
        <v>30</v>
      </c>
      <c r="AI58" s="1">
        <v>30</v>
      </c>
      <c r="AJ58" s="1">
        <v>30</v>
      </c>
      <c r="AK58" s="1">
        <v>30</v>
      </c>
      <c r="AL58" s="1">
        <v>30</v>
      </c>
      <c r="AM58" s="1">
        <v>30</v>
      </c>
      <c r="AN58" s="1">
        <v>30</v>
      </c>
      <c r="AO58" s="1">
        <v>30</v>
      </c>
      <c r="AP58" s="1">
        <v>30</v>
      </c>
      <c r="AQ58" s="1">
        <v>30</v>
      </c>
      <c r="AV58" s="10"/>
      <c r="AW58" s="1">
        <v>2</v>
      </c>
      <c r="AX58" s="1">
        <v>2</v>
      </c>
      <c r="AY58" s="1">
        <v>2</v>
      </c>
      <c r="AZ58" s="1">
        <v>2</v>
      </c>
      <c r="BA58" s="1">
        <v>2</v>
      </c>
      <c r="BB58" s="1">
        <v>2</v>
      </c>
      <c r="BC58" s="1">
        <v>2</v>
      </c>
      <c r="BD58" s="1">
        <v>2</v>
      </c>
      <c r="BE58" s="1">
        <v>2</v>
      </c>
      <c r="BF58" s="1">
        <v>2</v>
      </c>
    </row>
    <row r="59" spans="2:58" ht="15.75" customHeight="1" x14ac:dyDescent="0.25">
      <c r="B59" s="1" t="s">
        <v>161</v>
      </c>
      <c r="C59" s="1">
        <v>615</v>
      </c>
      <c r="D59" s="1">
        <v>48.7</v>
      </c>
      <c r="E59" s="1">
        <v>40.700000000000003</v>
      </c>
      <c r="F59" s="1">
        <v>-0.24</v>
      </c>
      <c r="G59" s="1">
        <v>15.12</v>
      </c>
      <c r="H59" s="1">
        <v>15.92</v>
      </c>
      <c r="L59" s="1" t="s">
        <v>164</v>
      </c>
      <c r="M59" s="1">
        <v>100</v>
      </c>
      <c r="N59" s="1">
        <f>$M59*1000*1.5</f>
        <v>150000</v>
      </c>
      <c r="O59" s="1">
        <v>1100</v>
      </c>
      <c r="P59" s="1">
        <v>540</v>
      </c>
      <c r="Q59" s="8"/>
      <c r="R59" s="8"/>
      <c r="S59" s="9">
        <v>40</v>
      </c>
      <c r="T59" s="1">
        <v>40</v>
      </c>
      <c r="U59" s="1">
        <v>40</v>
      </c>
      <c r="V59" s="1">
        <v>40</v>
      </c>
      <c r="W59" s="1">
        <v>40</v>
      </c>
      <c r="X59" s="1">
        <v>40</v>
      </c>
      <c r="Y59" s="1">
        <v>40</v>
      </c>
      <c r="Z59" s="1">
        <v>40</v>
      </c>
      <c r="AA59" s="1">
        <v>40</v>
      </c>
      <c r="AB59" s="1">
        <v>40</v>
      </c>
      <c r="AG59" s="10"/>
      <c r="AH59" s="1">
        <v>30</v>
      </c>
      <c r="AI59" s="1">
        <v>30</v>
      </c>
      <c r="AJ59" s="1">
        <v>30</v>
      </c>
      <c r="AK59" s="1">
        <v>30</v>
      </c>
      <c r="AL59" s="1">
        <v>30</v>
      </c>
      <c r="AM59" s="1">
        <v>30</v>
      </c>
      <c r="AN59" s="1">
        <v>30</v>
      </c>
      <c r="AO59" s="1">
        <v>30</v>
      </c>
      <c r="AP59" s="1">
        <v>30</v>
      </c>
      <c r="AQ59" s="1">
        <v>30</v>
      </c>
      <c r="AV59" s="10"/>
      <c r="AW59" s="1">
        <v>2</v>
      </c>
      <c r="AX59" s="1">
        <v>2</v>
      </c>
      <c r="AY59" s="1">
        <v>2</v>
      </c>
      <c r="AZ59" s="1">
        <v>2</v>
      </c>
      <c r="BA59" s="1">
        <v>2</v>
      </c>
      <c r="BB59" s="1">
        <v>2</v>
      </c>
      <c r="BC59" s="1">
        <v>2</v>
      </c>
      <c r="BD59" s="1">
        <v>2</v>
      </c>
      <c r="BE59" s="1">
        <v>2</v>
      </c>
      <c r="BF59" s="1">
        <v>2</v>
      </c>
    </row>
    <row r="60" spans="2:58" ht="15.75" customHeight="1" x14ac:dyDescent="0.25">
      <c r="B60" s="1" t="s">
        <v>163</v>
      </c>
      <c r="C60" s="4">
        <v>700</v>
      </c>
      <c r="D60" s="4">
        <v>50</v>
      </c>
      <c r="E60" s="4">
        <v>42.1</v>
      </c>
      <c r="F60" s="4">
        <v>-0.24</v>
      </c>
      <c r="G60" s="4">
        <v>16.63</v>
      </c>
      <c r="H60" s="4">
        <v>17.37</v>
      </c>
      <c r="I60" s="4"/>
      <c r="J60" s="4"/>
      <c r="L60" s="1" t="s">
        <v>166</v>
      </c>
      <c r="M60" s="1">
        <v>10</v>
      </c>
      <c r="N60" s="1">
        <f>$M60*2*1000</f>
        <v>20000</v>
      </c>
      <c r="O60" s="1">
        <v>600</v>
      </c>
      <c r="P60" s="1">
        <v>285</v>
      </c>
      <c r="Q60" s="5">
        <v>107277</v>
      </c>
      <c r="R60" s="5"/>
      <c r="S60" s="9">
        <v>20</v>
      </c>
      <c r="T60" s="1">
        <v>20</v>
      </c>
      <c r="U60" s="1">
        <v>20</v>
      </c>
      <c r="AG60" s="10"/>
      <c r="AH60" s="1">
        <v>15</v>
      </c>
      <c r="AI60" s="1">
        <v>15</v>
      </c>
      <c r="AJ60" s="1">
        <v>15</v>
      </c>
      <c r="AV60" s="10"/>
      <c r="AW60" s="1">
        <v>1</v>
      </c>
      <c r="AX60" s="1">
        <v>1</v>
      </c>
      <c r="AY60" s="1">
        <v>1</v>
      </c>
    </row>
    <row r="61" spans="2:58" ht="15.75" customHeight="1" x14ac:dyDescent="0.25">
      <c r="B61" s="1" t="s">
        <v>165</v>
      </c>
      <c r="C61" s="1">
        <v>560</v>
      </c>
      <c r="D61" s="1">
        <v>51.1</v>
      </c>
      <c r="E61" s="1">
        <v>42.4</v>
      </c>
      <c r="F61" s="1">
        <v>-0.26200000000000001</v>
      </c>
      <c r="G61" s="4">
        <v>13.21</v>
      </c>
      <c r="H61" s="4">
        <v>13.95</v>
      </c>
      <c r="I61" s="4"/>
      <c r="J61" s="4"/>
      <c r="L61" s="1" t="s">
        <v>168</v>
      </c>
      <c r="M61" s="1">
        <v>10</v>
      </c>
      <c r="N61" s="1">
        <f>$M61*1000*1.5</f>
        <v>15000</v>
      </c>
      <c r="O61" s="1">
        <v>600</v>
      </c>
      <c r="P61" s="1">
        <v>285</v>
      </c>
      <c r="Q61" s="8"/>
      <c r="R61" s="8"/>
      <c r="S61" s="9">
        <v>20</v>
      </c>
      <c r="T61" s="1">
        <v>20</v>
      </c>
      <c r="U61" s="1">
        <v>20</v>
      </c>
      <c r="AG61" s="10"/>
      <c r="AH61" s="1">
        <v>15</v>
      </c>
      <c r="AI61" s="1">
        <v>15</v>
      </c>
      <c r="AJ61" s="1">
        <v>15</v>
      </c>
      <c r="AV61" s="10"/>
      <c r="AW61" s="1">
        <v>1</v>
      </c>
      <c r="AX61" s="1">
        <v>1</v>
      </c>
      <c r="AY61" s="1">
        <v>1</v>
      </c>
    </row>
    <row r="62" spans="2:58" ht="15.75" customHeight="1" x14ac:dyDescent="0.25">
      <c r="B62" s="1" t="s">
        <v>167</v>
      </c>
      <c r="C62" s="1">
        <v>310</v>
      </c>
      <c r="D62" s="1">
        <v>45.9</v>
      </c>
      <c r="E62" s="1">
        <v>37</v>
      </c>
      <c r="F62" s="1">
        <v>-0.31</v>
      </c>
      <c r="G62" s="4"/>
      <c r="H62" s="4"/>
      <c r="I62" s="4"/>
      <c r="J62" s="4"/>
      <c r="L62" s="1" t="s">
        <v>170</v>
      </c>
      <c r="M62" s="1">
        <v>12</v>
      </c>
      <c r="N62" s="1">
        <v>24000</v>
      </c>
      <c r="O62" s="1">
        <v>1100</v>
      </c>
      <c r="P62" s="1">
        <v>220</v>
      </c>
      <c r="Q62" s="5"/>
      <c r="R62" s="5"/>
      <c r="S62" s="9">
        <v>40</v>
      </c>
      <c r="T62" s="1">
        <v>40</v>
      </c>
      <c r="U62" s="1">
        <v>40</v>
      </c>
      <c r="V62" s="1">
        <v>40</v>
      </c>
      <c r="AG62" s="10"/>
      <c r="AH62" s="1">
        <v>30</v>
      </c>
      <c r="AI62" s="1">
        <v>30</v>
      </c>
      <c r="AJ62" s="1">
        <v>30</v>
      </c>
      <c r="AK62" s="1">
        <v>30</v>
      </c>
      <c r="AV62" s="10"/>
      <c r="AW62" s="1">
        <v>2</v>
      </c>
      <c r="AX62" s="1">
        <v>2</v>
      </c>
      <c r="AY62" s="1">
        <v>2</v>
      </c>
      <c r="AZ62" s="1">
        <v>2</v>
      </c>
    </row>
    <row r="63" spans="2:58" ht="15.75" customHeight="1" x14ac:dyDescent="0.25">
      <c r="B63" s="14" t="s">
        <v>169</v>
      </c>
      <c r="C63" s="1">
        <v>585</v>
      </c>
      <c r="D63" s="1">
        <v>51.22</v>
      </c>
      <c r="E63" s="1">
        <v>42.55</v>
      </c>
      <c r="F63" s="1">
        <v>-0.25</v>
      </c>
      <c r="G63" s="4">
        <v>13.74</v>
      </c>
      <c r="H63" s="4">
        <v>14.53</v>
      </c>
      <c r="I63" s="4"/>
      <c r="J63" s="4"/>
      <c r="L63" s="1" t="s">
        <v>172</v>
      </c>
      <c r="M63" s="1">
        <v>15</v>
      </c>
      <c r="N63" s="1">
        <f>2*$M63*1000</f>
        <v>30000</v>
      </c>
      <c r="O63" s="1">
        <v>1100</v>
      </c>
      <c r="P63" s="1">
        <v>410</v>
      </c>
      <c r="Q63" s="8"/>
      <c r="R63" s="8"/>
      <c r="S63" s="9">
        <v>40</v>
      </c>
      <c r="T63" s="1">
        <v>40</v>
      </c>
      <c r="AG63" s="10"/>
      <c r="AH63" s="1">
        <v>30</v>
      </c>
      <c r="AI63" s="1">
        <v>30</v>
      </c>
      <c r="AV63" s="10"/>
      <c r="AW63" s="1">
        <v>2</v>
      </c>
      <c r="AX63" s="1">
        <v>2</v>
      </c>
    </row>
    <row r="64" spans="2:58" ht="15.75" customHeight="1" x14ac:dyDescent="0.25">
      <c r="B64" s="1" t="s">
        <v>171</v>
      </c>
      <c r="C64" s="1">
        <v>460</v>
      </c>
      <c r="D64" s="1">
        <v>41.8</v>
      </c>
      <c r="E64" s="1">
        <v>35.200000000000003</v>
      </c>
      <c r="F64" s="1">
        <v>-0.28000000000000003</v>
      </c>
      <c r="G64" s="4">
        <v>13.08</v>
      </c>
      <c r="H64" s="4">
        <v>13.78</v>
      </c>
      <c r="I64" s="4"/>
      <c r="J64" s="4"/>
      <c r="L64" s="1" t="s">
        <v>174</v>
      </c>
      <c r="M64" s="1">
        <v>15</v>
      </c>
      <c r="N64" s="1">
        <f>$M64*1000*1.5</f>
        <v>22500</v>
      </c>
      <c r="O64" s="1">
        <v>1100</v>
      </c>
      <c r="P64" s="1">
        <v>410</v>
      </c>
      <c r="Q64" s="5"/>
      <c r="R64" s="5"/>
      <c r="S64" s="9">
        <v>40</v>
      </c>
      <c r="T64" s="1">
        <v>40</v>
      </c>
      <c r="AG64" s="10"/>
      <c r="AH64" s="1">
        <v>30</v>
      </c>
      <c r="AI64" s="1">
        <v>30</v>
      </c>
      <c r="AV64" s="10"/>
      <c r="AW64" s="1">
        <v>2</v>
      </c>
      <c r="AX64" s="1">
        <v>2</v>
      </c>
    </row>
    <row r="65" spans="2:54" ht="15.75" customHeight="1" x14ac:dyDescent="0.25">
      <c r="B65" s="17" t="s">
        <v>173</v>
      </c>
      <c r="C65" s="1">
        <v>550</v>
      </c>
      <c r="D65" s="1">
        <v>49.8</v>
      </c>
      <c r="E65" s="1">
        <v>41.6</v>
      </c>
      <c r="F65" s="1">
        <v>-0.28000000000000003</v>
      </c>
      <c r="G65" s="4">
        <v>13.23</v>
      </c>
      <c r="H65" s="4">
        <v>13.99</v>
      </c>
      <c r="I65" s="4"/>
      <c r="J65" s="4"/>
      <c r="L65" s="1" t="s">
        <v>176</v>
      </c>
      <c r="M65" s="1">
        <v>20</v>
      </c>
      <c r="N65" s="1">
        <v>40000</v>
      </c>
      <c r="O65" s="1">
        <v>800</v>
      </c>
      <c r="P65" s="1">
        <v>200</v>
      </c>
      <c r="Q65" s="8">
        <v>185834</v>
      </c>
      <c r="R65" s="8" t="s">
        <v>62</v>
      </c>
      <c r="S65" s="6">
        <v>40</v>
      </c>
      <c r="T65" s="1">
        <v>40</v>
      </c>
      <c r="U65" s="1">
        <v>40</v>
      </c>
      <c r="V65" s="1">
        <v>40</v>
      </c>
      <c r="AG65" s="7"/>
      <c r="AH65" s="1">
        <v>27</v>
      </c>
      <c r="AI65" s="1">
        <v>27</v>
      </c>
      <c r="AJ65" s="1">
        <v>27</v>
      </c>
      <c r="AK65" s="1">
        <v>27</v>
      </c>
      <c r="AV65" s="7"/>
      <c r="AW65" s="1">
        <v>2</v>
      </c>
      <c r="AX65" s="1">
        <v>2</v>
      </c>
      <c r="AY65" s="1">
        <v>2</v>
      </c>
      <c r="AZ65" s="1">
        <v>2</v>
      </c>
    </row>
    <row r="66" spans="2:54" ht="15.75" customHeight="1" x14ac:dyDescent="0.25">
      <c r="B66" s="14" t="s">
        <v>175</v>
      </c>
      <c r="C66" s="1">
        <v>560</v>
      </c>
      <c r="D66" s="1">
        <v>50.2</v>
      </c>
      <c r="E66" s="1">
        <v>42</v>
      </c>
      <c r="F66" s="1">
        <v>-0.28000000000000003</v>
      </c>
      <c r="G66" s="4">
        <v>13.33</v>
      </c>
      <c r="H66" s="4">
        <v>14.11</v>
      </c>
      <c r="I66" s="4"/>
      <c r="J66" s="4"/>
      <c r="L66" s="1" t="s">
        <v>178</v>
      </c>
      <c r="M66" s="1">
        <v>20</v>
      </c>
      <c r="N66" s="1">
        <f>2*$M66*1000</f>
        <v>40000</v>
      </c>
      <c r="O66" s="1">
        <v>1100</v>
      </c>
      <c r="P66" s="1">
        <v>480</v>
      </c>
      <c r="Q66" s="5"/>
      <c r="R66" s="5"/>
      <c r="S66" s="9">
        <v>40</v>
      </c>
      <c r="T66" s="1">
        <v>40</v>
      </c>
      <c r="AG66" s="10"/>
      <c r="AH66" s="1">
        <v>30</v>
      </c>
      <c r="AI66" s="1">
        <v>30</v>
      </c>
      <c r="AV66" s="10"/>
      <c r="AW66" s="1">
        <v>2</v>
      </c>
      <c r="AX66" s="1">
        <v>2</v>
      </c>
    </row>
    <row r="67" spans="2:54" ht="15.75" customHeight="1" x14ac:dyDescent="0.25">
      <c r="B67" s="14" t="s">
        <v>177</v>
      </c>
      <c r="C67" s="1">
        <v>560</v>
      </c>
      <c r="D67" s="1">
        <v>47.42</v>
      </c>
      <c r="E67" s="1">
        <v>39.51</v>
      </c>
      <c r="F67" s="1">
        <v>-0.25</v>
      </c>
      <c r="G67" s="4">
        <v>14.17</v>
      </c>
      <c r="H67" s="4">
        <v>15</v>
      </c>
      <c r="I67" s="4"/>
      <c r="J67" s="4"/>
      <c r="L67" s="1" t="s">
        <v>180</v>
      </c>
      <c r="M67" s="1">
        <v>20</v>
      </c>
      <c r="N67" s="1">
        <f>$M67*1000*1.5</f>
        <v>30000</v>
      </c>
      <c r="O67" s="1">
        <v>1100</v>
      </c>
      <c r="P67" s="1">
        <v>480</v>
      </c>
      <c r="Q67" s="8"/>
      <c r="R67" s="8"/>
      <c r="S67" s="9">
        <v>40</v>
      </c>
      <c r="T67" s="1">
        <v>40</v>
      </c>
      <c r="AG67" s="10"/>
      <c r="AH67" s="1">
        <v>30</v>
      </c>
      <c r="AI67" s="1">
        <v>30</v>
      </c>
      <c r="AV67" s="10"/>
      <c r="AW67" s="1">
        <v>2</v>
      </c>
      <c r="AX67" s="1">
        <v>2</v>
      </c>
    </row>
    <row r="68" spans="2:54" ht="15.75" customHeight="1" x14ac:dyDescent="0.25">
      <c r="B68" s="14" t="s">
        <v>179</v>
      </c>
      <c r="C68" s="1">
        <v>580</v>
      </c>
      <c r="D68" s="1">
        <v>51.51</v>
      </c>
      <c r="E68" s="1">
        <v>42.9</v>
      </c>
      <c r="F68" s="1">
        <v>-0.25</v>
      </c>
      <c r="G68" s="4">
        <v>13.52</v>
      </c>
      <c r="H68" s="4">
        <v>14.08</v>
      </c>
      <c r="I68" s="4"/>
      <c r="J68" s="4"/>
      <c r="L68" s="1" t="s">
        <v>182</v>
      </c>
      <c r="M68" s="1">
        <v>250</v>
      </c>
      <c r="N68" s="1">
        <f>2*$M68*1000</f>
        <v>500000</v>
      </c>
      <c r="O68" s="1">
        <v>1500</v>
      </c>
      <c r="P68" s="1">
        <v>550</v>
      </c>
      <c r="Q68" s="5">
        <v>107284</v>
      </c>
      <c r="R68" s="5"/>
      <c r="S68" s="9">
        <v>115</v>
      </c>
      <c r="T68" s="1">
        <v>115</v>
      </c>
      <c r="U68" s="1">
        <v>115</v>
      </c>
      <c r="V68" s="1">
        <v>115</v>
      </c>
      <c r="W68" s="1">
        <v>115</v>
      </c>
      <c r="X68" s="1">
        <v>115</v>
      </c>
      <c r="AG68" s="10"/>
      <c r="AH68" s="1">
        <v>65</v>
      </c>
      <c r="AI68" s="1">
        <v>65</v>
      </c>
      <c r="AJ68" s="1">
        <v>65</v>
      </c>
      <c r="AK68" s="1">
        <v>65</v>
      </c>
      <c r="AL68" s="1">
        <v>65</v>
      </c>
      <c r="AM68" s="1">
        <v>65</v>
      </c>
      <c r="AV68" s="10"/>
      <c r="AW68" s="1">
        <v>4</v>
      </c>
      <c r="AX68" s="1">
        <v>5</v>
      </c>
      <c r="AY68" s="1">
        <v>5</v>
      </c>
      <c r="AZ68" s="1">
        <v>4</v>
      </c>
      <c r="BA68" s="1">
        <v>5</v>
      </c>
      <c r="BB68" s="1">
        <v>5</v>
      </c>
    </row>
    <row r="69" spans="2:54" ht="15.75" customHeight="1" x14ac:dyDescent="0.25">
      <c r="B69" s="14" t="s">
        <v>181</v>
      </c>
      <c r="C69" s="1">
        <v>585</v>
      </c>
      <c r="D69" s="1">
        <v>48.42</v>
      </c>
      <c r="E69" s="1">
        <v>40.51</v>
      </c>
      <c r="F69" s="1">
        <v>-0.25</v>
      </c>
      <c r="G69" s="4">
        <v>14.44</v>
      </c>
      <c r="H69" s="4">
        <v>15.27</v>
      </c>
      <c r="I69" s="4"/>
      <c r="J69" s="4"/>
      <c r="L69" s="1" t="s">
        <v>184</v>
      </c>
      <c r="M69" s="1">
        <v>250</v>
      </c>
      <c r="N69" s="1">
        <f>$M69*1000*1.5</f>
        <v>375000</v>
      </c>
      <c r="O69" s="1">
        <v>1500</v>
      </c>
      <c r="P69" s="1">
        <v>550</v>
      </c>
      <c r="Q69" s="8"/>
      <c r="R69" s="8"/>
      <c r="S69" s="9">
        <v>115</v>
      </c>
      <c r="T69" s="1">
        <v>115</v>
      </c>
      <c r="U69" s="1">
        <v>115</v>
      </c>
      <c r="V69" s="1">
        <v>115</v>
      </c>
      <c r="W69" s="1">
        <v>115</v>
      </c>
      <c r="X69" s="1">
        <v>115</v>
      </c>
      <c r="AG69" s="10"/>
      <c r="AH69" s="1">
        <v>65</v>
      </c>
      <c r="AI69" s="1">
        <v>65</v>
      </c>
      <c r="AJ69" s="1">
        <v>65</v>
      </c>
      <c r="AK69" s="1">
        <v>65</v>
      </c>
      <c r="AL69" s="1">
        <v>65</v>
      </c>
      <c r="AM69" s="1">
        <v>65</v>
      </c>
      <c r="AV69" s="10"/>
      <c r="AW69" s="1">
        <v>4</v>
      </c>
      <c r="AX69" s="1">
        <v>5</v>
      </c>
      <c r="AY69" s="1">
        <v>5</v>
      </c>
      <c r="AZ69" s="1">
        <v>4</v>
      </c>
      <c r="BA69" s="1">
        <v>5</v>
      </c>
      <c r="BB69" s="1">
        <v>5</v>
      </c>
    </row>
    <row r="70" spans="2:54" ht="15.75" customHeight="1" x14ac:dyDescent="0.25">
      <c r="B70" s="14" t="s">
        <v>183</v>
      </c>
      <c r="C70" s="1">
        <v>590</v>
      </c>
      <c r="D70" s="1">
        <v>53.7</v>
      </c>
      <c r="E70" s="1">
        <v>44.8</v>
      </c>
      <c r="F70" s="1">
        <v>-0.28000000000000003</v>
      </c>
      <c r="G70" s="4">
        <v>13.17</v>
      </c>
      <c r="H70" s="4">
        <v>13.94</v>
      </c>
      <c r="I70" s="4"/>
      <c r="J70" s="4"/>
      <c r="L70" s="1" t="s">
        <v>186</v>
      </c>
      <c r="M70" s="1">
        <v>25</v>
      </c>
      <c r="N70" s="1">
        <f>2*$M70*1000</f>
        <v>50000</v>
      </c>
      <c r="O70" s="1">
        <v>1100</v>
      </c>
      <c r="P70" s="1">
        <v>530</v>
      </c>
      <c r="Q70" s="5"/>
      <c r="R70" s="5"/>
      <c r="S70" s="9">
        <v>40</v>
      </c>
      <c r="T70" s="1">
        <v>40</v>
      </c>
      <c r="AG70" s="10"/>
      <c r="AH70" s="1">
        <v>30</v>
      </c>
      <c r="AI70" s="1">
        <v>30</v>
      </c>
      <c r="AV70" s="10"/>
      <c r="AW70" s="1">
        <v>2</v>
      </c>
      <c r="AX70" s="1">
        <v>2</v>
      </c>
    </row>
    <row r="71" spans="2:54" ht="15.75" customHeight="1" x14ac:dyDescent="0.25">
      <c r="B71" s="14" t="s">
        <v>185</v>
      </c>
      <c r="C71" s="1">
        <v>590</v>
      </c>
      <c r="D71" s="1">
        <v>48.62</v>
      </c>
      <c r="E71" s="1">
        <v>40.72</v>
      </c>
      <c r="F71" s="1">
        <v>-0.25</v>
      </c>
      <c r="G71" s="4">
        <v>14.94</v>
      </c>
      <c r="H71" s="4">
        <v>15.32</v>
      </c>
      <c r="I71" s="4"/>
      <c r="J71" s="4"/>
      <c r="L71" s="1" t="s">
        <v>188</v>
      </c>
      <c r="M71" s="1">
        <v>25</v>
      </c>
      <c r="N71" s="1">
        <f>$M71*1000*1.5</f>
        <v>37500</v>
      </c>
      <c r="O71" s="1">
        <v>1100</v>
      </c>
      <c r="P71" s="1">
        <v>530</v>
      </c>
      <c r="Q71" s="8"/>
      <c r="R71" s="8"/>
      <c r="S71" s="9">
        <v>40</v>
      </c>
      <c r="T71" s="1">
        <v>40</v>
      </c>
      <c r="AG71" s="10"/>
      <c r="AH71" s="1">
        <v>30</v>
      </c>
      <c r="AI71" s="1">
        <v>30</v>
      </c>
      <c r="AV71" s="10"/>
      <c r="AW71" s="1">
        <v>2</v>
      </c>
      <c r="AX71" s="1">
        <v>2</v>
      </c>
    </row>
    <row r="72" spans="2:54" ht="15.75" customHeight="1" x14ac:dyDescent="0.25">
      <c r="B72" s="14" t="s">
        <v>187</v>
      </c>
      <c r="C72" s="1">
        <v>595</v>
      </c>
      <c r="D72" s="1">
        <v>52</v>
      </c>
      <c r="E72" s="1">
        <v>43.5</v>
      </c>
      <c r="F72" s="1">
        <v>-0.25</v>
      </c>
      <c r="G72" s="4">
        <v>13.68</v>
      </c>
      <c r="H72" s="4">
        <v>14.26</v>
      </c>
      <c r="I72" s="4"/>
      <c r="J72" s="4"/>
      <c r="L72" s="1" t="s">
        <v>190</v>
      </c>
      <c r="M72" s="1">
        <v>30</v>
      </c>
      <c r="N72" s="1">
        <v>60000</v>
      </c>
      <c r="O72" s="1">
        <v>1100</v>
      </c>
      <c r="P72" s="1">
        <v>200</v>
      </c>
      <c r="Q72" s="5">
        <v>140245</v>
      </c>
      <c r="R72" s="5"/>
      <c r="S72" s="9">
        <v>40</v>
      </c>
      <c r="T72" s="1">
        <v>40</v>
      </c>
      <c r="U72" s="1">
        <v>40</v>
      </c>
      <c r="V72" s="1">
        <v>40</v>
      </c>
      <c r="AG72" s="10"/>
      <c r="AH72" s="12">
        <v>26</v>
      </c>
      <c r="AI72" s="12">
        <v>26</v>
      </c>
      <c r="AJ72" s="12">
        <v>26</v>
      </c>
      <c r="AK72" s="12">
        <v>26</v>
      </c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3"/>
      <c r="AW72" s="1">
        <v>2</v>
      </c>
      <c r="AX72" s="1">
        <v>2</v>
      </c>
      <c r="AY72" s="1">
        <v>2</v>
      </c>
      <c r="AZ72" s="1">
        <v>2</v>
      </c>
    </row>
    <row r="73" spans="2:54" ht="15.75" customHeight="1" x14ac:dyDescent="0.25">
      <c r="B73" s="1" t="s">
        <v>189</v>
      </c>
      <c r="C73" s="4">
        <v>610</v>
      </c>
      <c r="D73" s="4">
        <v>49.05</v>
      </c>
      <c r="E73" s="4">
        <v>40.659999999999997</v>
      </c>
      <c r="F73" s="4">
        <v>-0.25</v>
      </c>
      <c r="G73" s="4">
        <v>15</v>
      </c>
      <c r="H73" s="4">
        <v>15.84</v>
      </c>
      <c r="I73" s="4"/>
      <c r="J73" s="4"/>
      <c r="L73" s="1" t="s">
        <v>192</v>
      </c>
      <c r="M73" s="1">
        <v>3</v>
      </c>
      <c r="N73" s="1">
        <f>$M73*1.7*1000</f>
        <v>5100</v>
      </c>
      <c r="O73" s="1">
        <v>600</v>
      </c>
      <c r="P73" s="1">
        <v>100</v>
      </c>
      <c r="Q73" s="8">
        <v>107271</v>
      </c>
      <c r="R73" s="8" t="s">
        <v>62</v>
      </c>
      <c r="S73" s="9">
        <v>20</v>
      </c>
      <c r="T73" s="1">
        <v>20</v>
      </c>
      <c r="AC73" s="18"/>
      <c r="AD73" s="18"/>
      <c r="AE73" s="18"/>
      <c r="AF73" s="18"/>
      <c r="AG73" s="19"/>
      <c r="AH73" s="1">
        <v>13.5</v>
      </c>
      <c r="AI73" s="1">
        <v>13.5</v>
      </c>
      <c r="AV73" s="10"/>
      <c r="AW73" s="1">
        <v>1</v>
      </c>
      <c r="AX73" s="1">
        <v>1</v>
      </c>
    </row>
    <row r="74" spans="2:54" ht="15.75" customHeight="1" x14ac:dyDescent="0.25">
      <c r="B74" s="1" t="s">
        <v>191</v>
      </c>
      <c r="C74" s="4">
        <v>610</v>
      </c>
      <c r="D74" s="4">
        <v>49.05</v>
      </c>
      <c r="E74" s="4">
        <v>40.659999999999997</v>
      </c>
      <c r="F74" s="4">
        <v>-0.25</v>
      </c>
      <c r="G74" s="4">
        <v>15</v>
      </c>
      <c r="H74" s="4">
        <v>15.84</v>
      </c>
      <c r="I74" s="4"/>
      <c r="J74" s="4"/>
      <c r="L74" s="1" t="s">
        <v>194</v>
      </c>
      <c r="M74" s="1">
        <v>3</v>
      </c>
      <c r="N74" s="1">
        <f>$M74*1000*1.5</f>
        <v>4500</v>
      </c>
      <c r="O74" s="1">
        <v>600</v>
      </c>
      <c r="P74" s="1">
        <v>100</v>
      </c>
      <c r="Q74" s="5"/>
      <c r="R74" s="5"/>
      <c r="S74" s="9">
        <v>20</v>
      </c>
      <c r="T74" s="1">
        <v>20</v>
      </c>
      <c r="AC74" s="18"/>
      <c r="AD74" s="18"/>
      <c r="AE74" s="18"/>
      <c r="AF74" s="18"/>
      <c r="AG74" s="19"/>
      <c r="AH74" s="1">
        <v>13.5</v>
      </c>
      <c r="AI74" s="1">
        <v>13.5</v>
      </c>
      <c r="AV74" s="10"/>
      <c r="AW74" s="1">
        <v>1</v>
      </c>
      <c r="AX74" s="1">
        <v>1</v>
      </c>
    </row>
    <row r="75" spans="2:54" ht="15.75" customHeight="1" x14ac:dyDescent="0.25">
      <c r="B75" s="1" t="s">
        <v>193</v>
      </c>
      <c r="C75" s="1">
        <v>650</v>
      </c>
      <c r="D75" s="1">
        <v>45.58</v>
      </c>
      <c r="E75" s="1">
        <v>37.61</v>
      </c>
      <c r="F75" s="1">
        <v>-0.28000000000000003</v>
      </c>
      <c r="G75" s="4">
        <v>17.28</v>
      </c>
      <c r="H75" s="4">
        <v>18.16</v>
      </c>
      <c r="I75" s="4"/>
      <c r="J75" s="4"/>
      <c r="L75" s="1" t="s">
        <v>196</v>
      </c>
      <c r="M75" s="1">
        <v>4</v>
      </c>
      <c r="N75" s="1">
        <f>$M75*1000*1.7</f>
        <v>6800</v>
      </c>
      <c r="O75" s="1">
        <v>600</v>
      </c>
      <c r="P75" s="1">
        <v>100</v>
      </c>
      <c r="Q75" s="8">
        <v>121772</v>
      </c>
      <c r="R75" s="8"/>
      <c r="S75" s="9">
        <v>20</v>
      </c>
      <c r="T75" s="1">
        <v>20</v>
      </c>
      <c r="AG75" s="10"/>
      <c r="AH75" s="1">
        <v>13.5</v>
      </c>
      <c r="AI75" s="1">
        <v>13.5</v>
      </c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3"/>
      <c r="AW75" s="1">
        <v>1</v>
      </c>
      <c r="AX75" s="1">
        <v>1</v>
      </c>
    </row>
    <row r="76" spans="2:54" ht="15.75" customHeight="1" x14ac:dyDescent="0.25">
      <c r="B76" s="14" t="s">
        <v>195</v>
      </c>
      <c r="C76" s="1">
        <v>665</v>
      </c>
      <c r="D76" s="4">
        <v>46.18</v>
      </c>
      <c r="E76" s="1">
        <v>38.21</v>
      </c>
      <c r="F76" s="1">
        <v>-0.25</v>
      </c>
      <c r="G76" s="4">
        <v>17.399999999999999</v>
      </c>
      <c r="H76" s="4">
        <v>18.309999999999999</v>
      </c>
      <c r="I76" s="4"/>
      <c r="J76" s="4"/>
      <c r="L76" s="1" t="s">
        <v>196</v>
      </c>
      <c r="M76" s="1">
        <v>4</v>
      </c>
      <c r="N76" s="1">
        <f>$M76*1000*1.7</f>
        <v>6800</v>
      </c>
      <c r="O76" s="1">
        <v>600</v>
      </c>
      <c r="P76" s="1">
        <v>100</v>
      </c>
      <c r="Q76" s="5"/>
      <c r="R76" s="5"/>
      <c r="S76" s="9">
        <v>20</v>
      </c>
      <c r="T76" s="1">
        <v>20</v>
      </c>
      <c r="AG76" s="10"/>
      <c r="AH76" s="1">
        <v>13.5</v>
      </c>
      <c r="AI76" s="1">
        <v>13.5</v>
      </c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3"/>
      <c r="AW76" s="1">
        <v>1</v>
      </c>
      <c r="AX76" s="1">
        <v>1</v>
      </c>
    </row>
    <row r="77" spans="2:54" ht="15.75" customHeight="1" x14ac:dyDescent="0.25">
      <c r="B77" s="1" t="s">
        <v>197</v>
      </c>
      <c r="C77" s="4">
        <v>670</v>
      </c>
      <c r="D77" s="4">
        <v>46.38</v>
      </c>
      <c r="E77" s="4">
        <v>38.409999999999997</v>
      </c>
      <c r="F77" s="4">
        <v>-0.25</v>
      </c>
      <c r="G77" s="4">
        <v>17.440000000000001</v>
      </c>
      <c r="H77" s="4">
        <v>18.36</v>
      </c>
      <c r="I77" s="4"/>
      <c r="J77" s="4"/>
      <c r="L77" s="1" t="s">
        <v>199</v>
      </c>
      <c r="M77" s="1">
        <v>50</v>
      </c>
      <c r="N77" s="1">
        <v>100000</v>
      </c>
      <c r="O77" s="1">
        <v>1100</v>
      </c>
      <c r="P77" s="1">
        <v>200</v>
      </c>
      <c r="Q77" s="8">
        <v>140242</v>
      </c>
      <c r="R77" s="8"/>
      <c r="S77" s="9">
        <v>40</v>
      </c>
      <c r="T77" s="1">
        <v>40</v>
      </c>
      <c r="U77" s="1">
        <v>40</v>
      </c>
      <c r="V77" s="1">
        <v>40</v>
      </c>
      <c r="AG77" s="10"/>
      <c r="AH77" s="12">
        <v>30</v>
      </c>
      <c r="AI77" s="12">
        <v>30</v>
      </c>
      <c r="AJ77" s="12">
        <v>30</v>
      </c>
      <c r="AK77" s="12">
        <v>30</v>
      </c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3"/>
      <c r="AW77" s="1">
        <v>2</v>
      </c>
      <c r="AX77" s="1">
        <v>2</v>
      </c>
      <c r="AY77" s="1">
        <v>2</v>
      </c>
      <c r="AZ77" s="1">
        <v>2</v>
      </c>
    </row>
    <row r="78" spans="2:54" ht="15.75" customHeight="1" x14ac:dyDescent="0.25">
      <c r="B78" s="1" t="s">
        <v>198</v>
      </c>
      <c r="C78" s="4">
        <v>700</v>
      </c>
      <c r="D78" s="4">
        <v>48.2</v>
      </c>
      <c r="E78" s="4">
        <v>40.200000000000003</v>
      </c>
      <c r="F78" s="4">
        <v>-0.25</v>
      </c>
      <c r="G78" s="4">
        <v>17.41</v>
      </c>
      <c r="H78" s="4">
        <v>18.48</v>
      </c>
      <c r="I78" s="4"/>
      <c r="J78" s="4"/>
      <c r="L78" s="1" t="s">
        <v>201</v>
      </c>
      <c r="M78" s="1">
        <v>5</v>
      </c>
      <c r="N78" s="1">
        <f>$M78*1.7*1000</f>
        <v>8500</v>
      </c>
      <c r="O78" s="1">
        <v>600</v>
      </c>
      <c r="P78" s="1">
        <v>100</v>
      </c>
      <c r="Q78" s="11">
        <v>107272</v>
      </c>
      <c r="R78" s="11" t="s">
        <v>62</v>
      </c>
      <c r="S78" s="9">
        <v>20</v>
      </c>
      <c r="T78" s="1">
        <v>20</v>
      </c>
      <c r="AC78" s="12"/>
      <c r="AD78" s="12"/>
      <c r="AE78" s="12"/>
      <c r="AF78" s="12"/>
      <c r="AG78" s="13"/>
      <c r="AH78" s="1">
        <v>13.5</v>
      </c>
      <c r="AI78" s="1">
        <v>13.5</v>
      </c>
      <c r="AV78" s="10"/>
      <c r="AW78" s="1">
        <v>1</v>
      </c>
      <c r="AX78" s="1">
        <v>1</v>
      </c>
    </row>
    <row r="79" spans="2:54" ht="15.75" customHeight="1" x14ac:dyDescent="0.25">
      <c r="B79" s="1" t="s">
        <v>200</v>
      </c>
      <c r="C79" s="1">
        <v>570</v>
      </c>
      <c r="D79" s="1">
        <v>47.82</v>
      </c>
      <c r="E79" s="1">
        <v>39.909999999999997</v>
      </c>
      <c r="F79" s="1">
        <v>-0.25</v>
      </c>
      <c r="G79" s="1">
        <v>14.28</v>
      </c>
      <c r="H79" s="1">
        <v>15.12</v>
      </c>
      <c r="L79" s="1" t="s">
        <v>203</v>
      </c>
      <c r="M79" s="1">
        <v>5</v>
      </c>
      <c r="N79" s="1">
        <f>$M79*1000*1.5</f>
        <v>7500</v>
      </c>
      <c r="O79" s="1">
        <v>600</v>
      </c>
      <c r="P79" s="1">
        <v>100</v>
      </c>
      <c r="Q79" s="8"/>
      <c r="R79" s="8"/>
      <c r="S79" s="9">
        <v>20</v>
      </c>
      <c r="T79" s="1">
        <v>20</v>
      </c>
      <c r="AC79" s="12"/>
      <c r="AD79" s="12"/>
      <c r="AE79" s="12"/>
      <c r="AF79" s="12"/>
      <c r="AG79" s="13"/>
      <c r="AH79" s="1">
        <v>13.5</v>
      </c>
      <c r="AI79" s="1">
        <v>13.5</v>
      </c>
      <c r="AV79" s="10"/>
      <c r="AW79" s="1">
        <v>1</v>
      </c>
      <c r="AX79" s="1">
        <v>1</v>
      </c>
    </row>
    <row r="80" spans="2:54" ht="15.75" customHeight="1" x14ac:dyDescent="0.25">
      <c r="B80" s="14" t="s">
        <v>202</v>
      </c>
      <c r="C80" s="1">
        <v>585</v>
      </c>
      <c r="D80" s="1">
        <v>48.42</v>
      </c>
      <c r="E80" s="1">
        <v>40.51</v>
      </c>
      <c r="F80" s="1">
        <v>-0.25</v>
      </c>
      <c r="G80" s="4">
        <v>14.44</v>
      </c>
      <c r="H80" s="4">
        <v>15.27</v>
      </c>
      <c r="I80" s="4"/>
      <c r="J80" s="4"/>
      <c r="L80" s="1" t="s">
        <v>205</v>
      </c>
      <c r="M80" s="1">
        <v>60</v>
      </c>
      <c r="N80" s="1">
        <v>120000</v>
      </c>
      <c r="O80" s="1">
        <v>1100</v>
      </c>
      <c r="P80" s="1">
        <v>200</v>
      </c>
      <c r="Q80" s="5"/>
      <c r="R80" s="5"/>
      <c r="S80" s="9">
        <v>30</v>
      </c>
      <c r="T80" s="1">
        <v>30</v>
      </c>
      <c r="U80" s="1">
        <v>30</v>
      </c>
      <c r="V80" s="1">
        <v>30</v>
      </c>
      <c r="W80" s="1">
        <v>30</v>
      </c>
      <c r="X80" s="1">
        <v>30</v>
      </c>
      <c r="AG80" s="10"/>
      <c r="AH80" s="1">
        <v>22</v>
      </c>
      <c r="AI80" s="1">
        <v>22</v>
      </c>
      <c r="AJ80" s="1">
        <v>22</v>
      </c>
      <c r="AK80" s="1">
        <v>22</v>
      </c>
      <c r="AL80" s="1">
        <v>22</v>
      </c>
      <c r="AM80" s="1">
        <v>22</v>
      </c>
      <c r="AV80" s="10"/>
      <c r="AW80" s="1">
        <v>2</v>
      </c>
      <c r="AX80" s="1">
        <v>2</v>
      </c>
      <c r="AY80" s="1">
        <v>2</v>
      </c>
      <c r="AZ80" s="1">
        <v>2</v>
      </c>
      <c r="BA80" s="1">
        <v>2</v>
      </c>
      <c r="BB80" s="1">
        <v>2</v>
      </c>
    </row>
    <row r="81" spans="2:61" ht="15.75" customHeight="1" x14ac:dyDescent="0.25">
      <c r="B81" s="14" t="s">
        <v>204</v>
      </c>
      <c r="C81" s="4">
        <v>620</v>
      </c>
      <c r="D81" s="4">
        <v>52.09</v>
      </c>
      <c r="E81" s="4">
        <v>43.48</v>
      </c>
      <c r="F81" s="4">
        <v>-0.25</v>
      </c>
      <c r="G81" s="4">
        <v>14.26</v>
      </c>
      <c r="H81" s="4">
        <v>15.09</v>
      </c>
      <c r="I81" s="4"/>
      <c r="J81" s="4"/>
      <c r="L81" s="1" t="s">
        <v>207</v>
      </c>
      <c r="M81" s="1">
        <v>6</v>
      </c>
      <c r="N81" s="1">
        <f>$M81*1.7*1000</f>
        <v>10200</v>
      </c>
      <c r="O81" s="1">
        <v>600</v>
      </c>
      <c r="P81" s="1">
        <v>100</v>
      </c>
      <c r="Q81" s="8">
        <v>107273</v>
      </c>
      <c r="R81" s="8" t="s">
        <v>62</v>
      </c>
      <c r="S81" s="9">
        <v>20</v>
      </c>
      <c r="T81" s="1">
        <v>20</v>
      </c>
      <c r="AC81" s="20"/>
      <c r="AD81" s="20"/>
      <c r="AE81" s="20"/>
      <c r="AF81" s="20"/>
      <c r="AG81" s="21"/>
      <c r="AH81" s="1">
        <v>13.5</v>
      </c>
      <c r="AI81" s="1">
        <v>13.5</v>
      </c>
      <c r="AV81" s="10"/>
      <c r="AW81" s="1">
        <v>1</v>
      </c>
      <c r="AX81" s="1">
        <v>1</v>
      </c>
    </row>
    <row r="82" spans="2:61" ht="15.75" customHeight="1" x14ac:dyDescent="0.25">
      <c r="B82" s="1" t="s">
        <v>206</v>
      </c>
      <c r="C82" s="4">
        <v>620</v>
      </c>
      <c r="D82" s="4">
        <v>49.55</v>
      </c>
      <c r="E82" s="4">
        <v>41.06</v>
      </c>
      <c r="F82" s="4">
        <v>-0.25</v>
      </c>
      <c r="G82" s="4">
        <v>15.1</v>
      </c>
      <c r="H82" s="4">
        <v>15.93</v>
      </c>
      <c r="I82" s="4"/>
      <c r="J82" s="4"/>
      <c r="L82" s="1" t="s">
        <v>209</v>
      </c>
      <c r="M82" s="1">
        <v>6</v>
      </c>
      <c r="N82" s="1">
        <f>$M82*1000*1.5</f>
        <v>9000</v>
      </c>
      <c r="O82" s="1">
        <v>600</v>
      </c>
      <c r="P82" s="1">
        <v>100</v>
      </c>
      <c r="Q82" s="5"/>
      <c r="R82" s="5"/>
      <c r="S82" s="9">
        <v>20</v>
      </c>
      <c r="T82" s="1">
        <v>20</v>
      </c>
      <c r="AC82" s="20"/>
      <c r="AD82" s="20"/>
      <c r="AE82" s="20"/>
      <c r="AF82" s="20"/>
      <c r="AG82" s="21"/>
      <c r="AH82" s="1">
        <v>13.5</v>
      </c>
      <c r="AI82" s="1">
        <v>13.5</v>
      </c>
      <c r="AV82" s="10"/>
      <c r="AW82" s="1">
        <v>1</v>
      </c>
      <c r="AX82" s="1">
        <v>1</v>
      </c>
    </row>
    <row r="83" spans="2:61" ht="15.75" customHeight="1" x14ac:dyDescent="0.25">
      <c r="B83" s="14" t="s">
        <v>208</v>
      </c>
      <c r="C83" s="4">
        <v>620</v>
      </c>
      <c r="D83" s="4">
        <v>49.55</v>
      </c>
      <c r="E83" s="4">
        <v>41.06</v>
      </c>
      <c r="F83" s="4">
        <v>-0.25</v>
      </c>
      <c r="G83" s="4">
        <v>15.1</v>
      </c>
      <c r="H83" s="4">
        <v>15.93</v>
      </c>
      <c r="I83" s="4"/>
      <c r="J83" s="4"/>
      <c r="L83" s="1" t="s">
        <v>211</v>
      </c>
      <c r="M83" s="1">
        <v>7.5</v>
      </c>
      <c r="N83" s="1">
        <f>Table_2[[#This Row],[Pnom]]*2*1000</f>
        <v>15000</v>
      </c>
      <c r="O83" s="1">
        <v>600</v>
      </c>
      <c r="P83" s="1">
        <v>50</v>
      </c>
      <c r="Q83" s="8">
        <v>170970</v>
      </c>
      <c r="R83" s="31" t="s">
        <v>62</v>
      </c>
      <c r="S83" s="6">
        <v>20</v>
      </c>
      <c r="T83" s="1">
        <v>20</v>
      </c>
      <c r="U83" s="1">
        <v>20</v>
      </c>
      <c r="AG83" s="7"/>
      <c r="AH83" s="1">
        <v>16</v>
      </c>
      <c r="AI83" s="1">
        <v>16</v>
      </c>
      <c r="AJ83" s="1">
        <v>16</v>
      </c>
      <c r="AV83" s="7"/>
      <c r="AW83" s="1">
        <v>1</v>
      </c>
      <c r="AX83" s="1">
        <v>1</v>
      </c>
      <c r="AY83" s="1">
        <v>1</v>
      </c>
    </row>
    <row r="84" spans="2:61" ht="15.75" customHeight="1" x14ac:dyDescent="0.25">
      <c r="B84" s="14" t="s">
        <v>210</v>
      </c>
      <c r="C84" s="1">
        <v>690</v>
      </c>
      <c r="D84" s="1">
        <v>47.8</v>
      </c>
      <c r="E84" s="1">
        <v>39.799999999999997</v>
      </c>
      <c r="F84" s="1">
        <v>-0.25</v>
      </c>
      <c r="G84" s="4">
        <v>17.34</v>
      </c>
      <c r="H84" s="4">
        <v>18.3</v>
      </c>
      <c r="I84" s="4"/>
      <c r="J84" s="4"/>
      <c r="L84" s="1" t="s">
        <v>213</v>
      </c>
      <c r="M84" s="1">
        <v>75</v>
      </c>
      <c r="N84" s="1">
        <v>150000</v>
      </c>
      <c r="O84" s="1">
        <v>750</v>
      </c>
      <c r="P84" s="1">
        <v>160</v>
      </c>
      <c r="Q84" s="5">
        <v>183056</v>
      </c>
      <c r="R84" s="5" t="s">
        <v>62</v>
      </c>
      <c r="S84" s="6">
        <v>66</v>
      </c>
      <c r="T84" s="1">
        <v>66</v>
      </c>
      <c r="U84" s="1">
        <v>66</v>
      </c>
      <c r="V84" s="1">
        <v>66</v>
      </c>
      <c r="W84" s="1">
        <v>66</v>
      </c>
      <c r="X84" s="1">
        <v>66</v>
      </c>
      <c r="Y84" s="1">
        <v>66</v>
      </c>
      <c r="AG84" s="7"/>
      <c r="AH84" s="1">
        <v>48</v>
      </c>
      <c r="AI84" s="1">
        <v>48</v>
      </c>
      <c r="AJ84" s="1">
        <v>48</v>
      </c>
      <c r="AK84" s="1">
        <v>48</v>
      </c>
      <c r="AL84" s="1">
        <v>48</v>
      </c>
      <c r="AM84" s="1">
        <v>48</v>
      </c>
      <c r="AN84" s="1">
        <v>48</v>
      </c>
      <c r="AV84" s="7"/>
      <c r="AW84" s="1">
        <v>3</v>
      </c>
      <c r="AX84" s="1">
        <v>3</v>
      </c>
      <c r="AY84" s="1">
        <v>3</v>
      </c>
      <c r="AZ84" s="1">
        <v>3</v>
      </c>
      <c r="BA84" s="1">
        <v>3</v>
      </c>
      <c r="BB84" s="1">
        <v>3</v>
      </c>
      <c r="BC84" s="1">
        <v>3</v>
      </c>
    </row>
    <row r="85" spans="2:61" ht="15.75" customHeight="1" x14ac:dyDescent="0.25">
      <c r="B85" s="1" t="s">
        <v>212</v>
      </c>
      <c r="C85" s="4">
        <v>445</v>
      </c>
      <c r="D85" s="4">
        <v>49.4</v>
      </c>
      <c r="E85" s="4">
        <v>41.2</v>
      </c>
      <c r="F85" s="4">
        <v>-0.28399999999999997</v>
      </c>
      <c r="G85" s="4">
        <v>10.8</v>
      </c>
      <c r="H85" s="4">
        <v>11.52</v>
      </c>
      <c r="I85" s="4"/>
      <c r="J85" s="4"/>
      <c r="L85" s="1" t="s">
        <v>215</v>
      </c>
      <c r="M85" s="1">
        <v>75</v>
      </c>
      <c r="N85" s="1">
        <f>2*$M85*1000</f>
        <v>150000</v>
      </c>
      <c r="O85" s="1">
        <v>1100</v>
      </c>
      <c r="P85" s="1">
        <v>540</v>
      </c>
      <c r="Q85" s="8">
        <v>107281</v>
      </c>
      <c r="R85" s="8"/>
      <c r="S85" s="9">
        <v>40</v>
      </c>
      <c r="T85" s="1">
        <v>40</v>
      </c>
      <c r="U85" s="1">
        <v>40</v>
      </c>
      <c r="V85" s="1">
        <v>40</v>
      </c>
      <c r="W85" s="1">
        <v>40</v>
      </c>
      <c r="X85" s="1">
        <v>40</v>
      </c>
      <c r="Y85" s="1">
        <v>40</v>
      </c>
      <c r="Z85" s="1">
        <v>40</v>
      </c>
      <c r="AA85" s="1">
        <v>40</v>
      </c>
      <c r="AB85" s="1">
        <v>40</v>
      </c>
      <c r="AG85" s="10"/>
      <c r="AH85" s="1">
        <v>26</v>
      </c>
      <c r="AI85" s="1">
        <v>26</v>
      </c>
      <c r="AJ85" s="1">
        <v>26</v>
      </c>
      <c r="AK85" s="1">
        <v>26</v>
      </c>
      <c r="AL85" s="1">
        <v>26</v>
      </c>
      <c r="AM85" s="1">
        <v>26</v>
      </c>
      <c r="AN85" s="1">
        <v>26</v>
      </c>
      <c r="AO85" s="1">
        <v>26</v>
      </c>
      <c r="AP85" s="1">
        <v>26</v>
      </c>
      <c r="AQ85" s="1">
        <v>26</v>
      </c>
      <c r="AV85" s="10"/>
      <c r="AW85" s="1">
        <v>2</v>
      </c>
      <c r="AX85" s="1">
        <v>2</v>
      </c>
      <c r="AY85" s="1">
        <v>2</v>
      </c>
      <c r="AZ85" s="1">
        <v>2</v>
      </c>
      <c r="BA85" s="1">
        <v>2</v>
      </c>
      <c r="BB85" s="1">
        <v>2</v>
      </c>
      <c r="BC85" s="1">
        <v>2</v>
      </c>
      <c r="BD85" s="1">
        <v>2</v>
      </c>
      <c r="BE85" s="1">
        <v>2</v>
      </c>
      <c r="BF85" s="1">
        <v>2</v>
      </c>
    </row>
    <row r="86" spans="2:61" ht="15.75" customHeight="1" x14ac:dyDescent="0.25">
      <c r="B86" s="1" t="s">
        <v>214</v>
      </c>
      <c r="C86" s="4">
        <v>450</v>
      </c>
      <c r="D86" s="4">
        <v>49.6</v>
      </c>
      <c r="E86" s="4">
        <v>41.4</v>
      </c>
      <c r="F86" s="4">
        <v>-0.28399999999999997</v>
      </c>
      <c r="G86" s="4">
        <v>10.87</v>
      </c>
      <c r="H86" s="4">
        <v>11.58</v>
      </c>
      <c r="I86" s="4"/>
      <c r="J86" s="4"/>
      <c r="L86" s="1" t="s">
        <v>217</v>
      </c>
      <c r="M86" s="1">
        <v>75</v>
      </c>
      <c r="N86" s="1">
        <f>$M86*1000*1.5</f>
        <v>112500</v>
      </c>
      <c r="O86" s="1">
        <v>1100</v>
      </c>
      <c r="P86" s="1">
        <v>540</v>
      </c>
      <c r="Q86" s="5"/>
      <c r="R86" s="5"/>
      <c r="S86" s="9">
        <v>40</v>
      </c>
      <c r="T86" s="1">
        <v>40</v>
      </c>
      <c r="U86" s="1">
        <v>40</v>
      </c>
      <c r="V86" s="1">
        <v>40</v>
      </c>
      <c r="W86" s="1">
        <v>40</v>
      </c>
      <c r="X86" s="1">
        <v>40</v>
      </c>
      <c r="Y86" s="1">
        <v>40</v>
      </c>
      <c r="Z86" s="1">
        <v>40</v>
      </c>
      <c r="AA86" s="1">
        <v>40</v>
      </c>
      <c r="AB86" s="1">
        <v>40</v>
      </c>
      <c r="AG86" s="10"/>
      <c r="AH86" s="1">
        <v>26</v>
      </c>
      <c r="AI86" s="1">
        <v>26</v>
      </c>
      <c r="AJ86" s="1">
        <v>26</v>
      </c>
      <c r="AK86" s="1">
        <v>26</v>
      </c>
      <c r="AL86" s="1">
        <v>26</v>
      </c>
      <c r="AM86" s="1">
        <v>26</v>
      </c>
      <c r="AN86" s="1">
        <v>26</v>
      </c>
      <c r="AO86" s="1">
        <v>26</v>
      </c>
      <c r="AP86" s="1">
        <v>26</v>
      </c>
      <c r="AQ86" s="1">
        <v>26</v>
      </c>
      <c r="AV86" s="10"/>
      <c r="AW86" s="1">
        <v>2</v>
      </c>
      <c r="AX86" s="1">
        <v>2</v>
      </c>
      <c r="AY86" s="1">
        <v>2</v>
      </c>
      <c r="AZ86" s="1">
        <v>2</v>
      </c>
      <c r="BA86" s="1">
        <v>2</v>
      </c>
      <c r="BB86" s="1">
        <v>2</v>
      </c>
      <c r="BC86" s="1">
        <v>2</v>
      </c>
      <c r="BD86" s="1">
        <v>2</v>
      </c>
      <c r="BE86" s="1">
        <v>2</v>
      </c>
      <c r="BF86" s="1">
        <v>2</v>
      </c>
    </row>
    <row r="87" spans="2:61" ht="15.75" customHeight="1" x14ac:dyDescent="0.25">
      <c r="B87" s="1" t="s">
        <v>216</v>
      </c>
      <c r="C87" s="4">
        <v>455</v>
      </c>
      <c r="D87" s="4">
        <v>49.8</v>
      </c>
      <c r="E87" s="4">
        <v>41.6</v>
      </c>
      <c r="F87" s="4">
        <v>-0.28399999999999997</v>
      </c>
      <c r="G87" s="4">
        <v>10.93</v>
      </c>
      <c r="H87" s="4">
        <v>11.65</v>
      </c>
      <c r="I87" s="4"/>
      <c r="J87" s="4"/>
      <c r="L87" s="1" t="s">
        <v>219</v>
      </c>
      <c r="M87" s="1">
        <v>8</v>
      </c>
      <c r="N87" s="1">
        <f>$M87*1.7*1000</f>
        <v>13600</v>
      </c>
      <c r="O87" s="1">
        <v>600</v>
      </c>
      <c r="P87" s="1">
        <v>260</v>
      </c>
      <c r="Q87" s="8"/>
      <c r="R87" s="8"/>
      <c r="S87" s="9">
        <v>20</v>
      </c>
      <c r="T87" s="1">
        <v>20</v>
      </c>
      <c r="U87" s="1">
        <v>20</v>
      </c>
      <c r="AC87" s="12"/>
      <c r="AD87" s="12"/>
      <c r="AE87" s="12"/>
      <c r="AF87" s="12"/>
      <c r="AG87" s="13"/>
      <c r="AH87" s="1">
        <v>15</v>
      </c>
      <c r="AI87" s="1">
        <v>15</v>
      </c>
      <c r="AJ87" s="1">
        <v>15</v>
      </c>
      <c r="AV87" s="10"/>
      <c r="AW87" s="1">
        <v>1</v>
      </c>
      <c r="AX87" s="1">
        <v>1</v>
      </c>
      <c r="AY87" s="1">
        <v>1</v>
      </c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 spans="2:61" ht="15.75" customHeight="1" x14ac:dyDescent="0.25">
      <c r="B88" s="1" t="s">
        <v>218</v>
      </c>
      <c r="C88" s="1">
        <v>440</v>
      </c>
      <c r="D88" s="1">
        <v>49.6</v>
      </c>
      <c r="E88" s="1">
        <v>41</v>
      </c>
      <c r="F88" s="1">
        <v>-0.28599999999999998</v>
      </c>
      <c r="G88" s="4">
        <v>10.74</v>
      </c>
      <c r="H88" s="4">
        <v>11.33</v>
      </c>
      <c r="I88" s="4"/>
      <c r="J88" s="4"/>
      <c r="L88" s="1" t="s">
        <v>221</v>
      </c>
      <c r="M88" s="1">
        <v>8</v>
      </c>
      <c r="N88" s="1">
        <f>$M88*1000*1.5</f>
        <v>12000</v>
      </c>
      <c r="O88" s="1">
        <v>600</v>
      </c>
      <c r="P88" s="1">
        <v>260</v>
      </c>
      <c r="Q88" s="5"/>
      <c r="R88" s="5"/>
      <c r="S88" s="9">
        <v>20</v>
      </c>
      <c r="T88" s="1">
        <v>20</v>
      </c>
      <c r="U88" s="1">
        <v>20</v>
      </c>
      <c r="AC88" s="12"/>
      <c r="AD88" s="12"/>
      <c r="AE88" s="12"/>
      <c r="AF88" s="12"/>
      <c r="AG88" s="13"/>
      <c r="AH88" s="1">
        <v>15</v>
      </c>
      <c r="AI88" s="1">
        <v>15</v>
      </c>
      <c r="AJ88" s="1">
        <v>15</v>
      </c>
      <c r="AV88" s="10"/>
      <c r="AW88" s="1">
        <v>1</v>
      </c>
      <c r="AX88" s="1">
        <v>1</v>
      </c>
      <c r="AY88" s="1">
        <v>1</v>
      </c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 spans="2:61" ht="15.75" customHeight="1" x14ac:dyDescent="0.25">
      <c r="B89" s="14" t="s">
        <v>220</v>
      </c>
      <c r="C89" s="1">
        <v>555</v>
      </c>
      <c r="D89" s="1">
        <v>50.3</v>
      </c>
      <c r="E89" s="1">
        <v>42.27</v>
      </c>
      <c r="F89" s="1">
        <v>-0.28499999999999998</v>
      </c>
      <c r="G89" s="4">
        <v>13.13</v>
      </c>
      <c r="H89" s="4">
        <v>14.1</v>
      </c>
      <c r="I89" s="4"/>
      <c r="J89" s="4"/>
      <c r="L89" s="1" t="s">
        <v>223</v>
      </c>
      <c r="M89" s="1">
        <v>3.6</v>
      </c>
      <c r="N89" s="1">
        <v>7200</v>
      </c>
      <c r="O89" s="1">
        <v>600</v>
      </c>
      <c r="P89" s="1">
        <v>40</v>
      </c>
      <c r="Q89" s="8">
        <v>219935</v>
      </c>
      <c r="R89" s="8"/>
      <c r="S89" s="6">
        <v>25</v>
      </c>
      <c r="AG89" s="7"/>
      <c r="AH89" s="1">
        <v>20</v>
      </c>
      <c r="AI89" s="1">
        <v>20</v>
      </c>
      <c r="AV89" s="7"/>
      <c r="AW89" s="1">
        <v>1</v>
      </c>
    </row>
    <row r="90" spans="2:61" ht="15.75" customHeight="1" x14ac:dyDescent="0.25">
      <c r="B90" s="1" t="s">
        <v>222</v>
      </c>
      <c r="C90" s="4">
        <v>610</v>
      </c>
      <c r="D90" s="4">
        <v>48.63</v>
      </c>
      <c r="E90" s="4">
        <v>40.56</v>
      </c>
      <c r="F90" s="4">
        <v>-0.26</v>
      </c>
      <c r="G90" s="4">
        <v>15.04</v>
      </c>
      <c r="H90" s="4">
        <v>16.010000000000002</v>
      </c>
      <c r="I90" s="4"/>
      <c r="J90" s="4"/>
      <c r="L90" s="1" t="s">
        <v>225</v>
      </c>
      <c r="M90" s="1">
        <v>5.5</v>
      </c>
      <c r="N90" s="1">
        <v>8000</v>
      </c>
      <c r="O90" s="1">
        <v>600</v>
      </c>
      <c r="P90" s="1">
        <v>80</v>
      </c>
      <c r="Q90" s="5">
        <v>219936</v>
      </c>
      <c r="R90" s="5"/>
      <c r="S90" s="6">
        <v>24</v>
      </c>
      <c r="T90" s="1">
        <v>24</v>
      </c>
      <c r="AG90" s="7"/>
      <c r="AH90" s="1">
        <v>18</v>
      </c>
      <c r="AI90" s="1">
        <v>18</v>
      </c>
      <c r="AV90" s="7"/>
      <c r="AW90" s="1">
        <v>1</v>
      </c>
      <c r="AX90" s="1">
        <v>1</v>
      </c>
    </row>
    <row r="91" spans="2:61" ht="15.75" customHeight="1" x14ac:dyDescent="0.25">
      <c r="B91" s="1" t="s">
        <v>224</v>
      </c>
      <c r="C91" s="4">
        <v>610</v>
      </c>
      <c r="D91" s="4">
        <v>52.55</v>
      </c>
      <c r="E91" s="4">
        <v>44.11</v>
      </c>
      <c r="F91" s="1">
        <v>-0.25</v>
      </c>
      <c r="G91" s="4">
        <v>13.83</v>
      </c>
      <c r="H91" s="4">
        <v>14.69</v>
      </c>
      <c r="I91" s="4"/>
      <c r="J91" s="4"/>
      <c r="L91" s="1" t="s">
        <v>227</v>
      </c>
      <c r="M91" s="1">
        <v>6.6</v>
      </c>
      <c r="N91" s="1">
        <v>9600</v>
      </c>
      <c r="O91" s="1">
        <v>600</v>
      </c>
      <c r="P91" s="1">
        <v>80</v>
      </c>
      <c r="Q91" s="8">
        <v>219938</v>
      </c>
      <c r="R91" s="8"/>
      <c r="S91" s="6">
        <v>24</v>
      </c>
      <c r="T91" s="1">
        <v>24</v>
      </c>
      <c r="AG91" s="7"/>
      <c r="AH91" s="1">
        <v>18</v>
      </c>
      <c r="AI91" s="1">
        <v>18</v>
      </c>
      <c r="AV91" s="7"/>
      <c r="AW91" s="1">
        <v>1</v>
      </c>
      <c r="AX91" s="1">
        <v>1</v>
      </c>
    </row>
    <row r="92" spans="2:61" ht="15.75" customHeight="1" x14ac:dyDescent="0.25">
      <c r="B92" s="1" t="s">
        <v>226</v>
      </c>
      <c r="C92" s="1">
        <v>460</v>
      </c>
      <c r="D92" s="1">
        <v>41.8</v>
      </c>
      <c r="E92" s="1">
        <v>35.11</v>
      </c>
      <c r="F92" s="1">
        <v>-0.28000000000000003</v>
      </c>
      <c r="G92" s="4">
        <v>13.11</v>
      </c>
      <c r="H92" s="4">
        <v>13.93</v>
      </c>
      <c r="I92" s="4"/>
      <c r="J92" s="4"/>
      <c r="L92" s="1" t="s">
        <v>229</v>
      </c>
      <c r="M92" s="1">
        <v>7.3</v>
      </c>
      <c r="N92" s="1">
        <v>12000</v>
      </c>
      <c r="O92" s="1">
        <v>600</v>
      </c>
      <c r="P92" s="1">
        <v>80</v>
      </c>
      <c r="Q92" s="11">
        <v>219939</v>
      </c>
      <c r="R92" s="11"/>
      <c r="S92" s="6">
        <v>24</v>
      </c>
      <c r="T92" s="1">
        <v>24</v>
      </c>
      <c r="AG92" s="7"/>
      <c r="AH92" s="1">
        <v>18</v>
      </c>
      <c r="AI92" s="1">
        <v>18</v>
      </c>
      <c r="AV92" s="7"/>
      <c r="AW92" s="1">
        <v>1</v>
      </c>
      <c r="AX92" s="1">
        <v>1</v>
      </c>
    </row>
    <row r="93" spans="2:61" ht="15.75" customHeight="1" x14ac:dyDescent="0.25">
      <c r="B93" s="1" t="s">
        <v>395</v>
      </c>
      <c r="C93" s="4">
        <v>620</v>
      </c>
      <c r="D93" s="4">
        <v>47.98</v>
      </c>
      <c r="E93" s="4">
        <v>40.39</v>
      </c>
      <c r="F93" s="4">
        <v>-0.25</v>
      </c>
      <c r="G93" s="4">
        <v>15.35</v>
      </c>
      <c r="H93" s="4">
        <v>16.3</v>
      </c>
      <c r="I93" s="4"/>
      <c r="J93" s="4"/>
      <c r="L93" s="1" t="s">
        <v>231</v>
      </c>
      <c r="M93" s="1">
        <v>5</v>
      </c>
      <c r="N93" s="1">
        <v>10000</v>
      </c>
      <c r="O93" s="1">
        <v>600</v>
      </c>
      <c r="P93" s="1">
        <v>50</v>
      </c>
      <c r="Q93" s="8">
        <v>181490</v>
      </c>
      <c r="R93" s="8" t="s">
        <v>62</v>
      </c>
      <c r="S93" s="9">
        <v>30</v>
      </c>
      <c r="T93" s="1">
        <v>30</v>
      </c>
      <c r="AG93" s="10"/>
      <c r="AH93" s="12">
        <v>20</v>
      </c>
      <c r="AI93" s="12">
        <v>20</v>
      </c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3"/>
      <c r="AW93" s="1">
        <v>1</v>
      </c>
      <c r="AX93" s="1">
        <v>1</v>
      </c>
    </row>
    <row r="94" spans="2:61" ht="15.75" customHeight="1" x14ac:dyDescent="0.25">
      <c r="B94" s="1" t="s">
        <v>230</v>
      </c>
      <c r="C94" s="4">
        <v>700</v>
      </c>
      <c r="D94" s="1">
        <v>49.77</v>
      </c>
      <c r="E94" s="1">
        <v>41.78</v>
      </c>
      <c r="F94" s="4">
        <v>-0.22</v>
      </c>
      <c r="G94" s="4">
        <v>16.760000000000002</v>
      </c>
      <c r="H94" s="4">
        <v>17.809999999999999</v>
      </c>
      <c r="I94" s="4"/>
      <c r="J94" s="4"/>
      <c r="L94" s="1" t="s">
        <v>233</v>
      </c>
      <c r="M94" s="1">
        <v>7.5</v>
      </c>
      <c r="N94" s="1">
        <v>15000</v>
      </c>
      <c r="O94" s="1">
        <v>600</v>
      </c>
      <c r="P94" s="1">
        <v>50</v>
      </c>
      <c r="Q94" s="5">
        <v>181492</v>
      </c>
      <c r="R94" s="5" t="s">
        <v>62</v>
      </c>
      <c r="S94" s="9">
        <v>30</v>
      </c>
      <c r="T94" s="1">
        <v>30</v>
      </c>
      <c r="AG94" s="10"/>
      <c r="AH94" s="1">
        <v>20</v>
      </c>
      <c r="AI94" s="1">
        <v>20</v>
      </c>
      <c r="AV94" s="10"/>
      <c r="AW94" s="1">
        <v>1</v>
      </c>
      <c r="AX94" s="1">
        <v>1</v>
      </c>
    </row>
    <row r="95" spans="2:61" ht="15.75" customHeight="1" x14ac:dyDescent="0.25">
      <c r="B95" s="14" t="s">
        <v>232</v>
      </c>
      <c r="C95" s="1">
        <v>560</v>
      </c>
      <c r="D95" s="1">
        <v>50.1</v>
      </c>
      <c r="E95" s="1">
        <v>42.25</v>
      </c>
      <c r="F95" s="1">
        <v>-0.27</v>
      </c>
      <c r="G95" s="4">
        <v>13.25</v>
      </c>
      <c r="H95" s="4">
        <v>14.01</v>
      </c>
      <c r="I95" s="4"/>
      <c r="J95" s="4"/>
      <c r="L95" s="1" t="s">
        <v>235</v>
      </c>
      <c r="M95" s="1">
        <v>2.2000000000000002</v>
      </c>
      <c r="N95" s="1">
        <f>$M95*1.6*1000+200</f>
        <v>3720.0000000000005</v>
      </c>
      <c r="O95" s="1">
        <v>550</v>
      </c>
      <c r="P95" s="1">
        <v>70</v>
      </c>
      <c r="Q95" s="8"/>
      <c r="R95" s="8"/>
      <c r="S95" s="15">
        <v>20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3"/>
      <c r="AH95" s="12">
        <v>14</v>
      </c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3"/>
      <c r="AW95" s="1">
        <v>1</v>
      </c>
    </row>
    <row r="96" spans="2:61" ht="15.75" customHeight="1" x14ac:dyDescent="0.25">
      <c r="B96" s="1" t="s">
        <v>234</v>
      </c>
      <c r="C96" s="1">
        <v>545</v>
      </c>
      <c r="D96" s="1">
        <v>49.75</v>
      </c>
      <c r="E96" s="1">
        <v>41.8</v>
      </c>
      <c r="F96" s="1">
        <v>-0.32</v>
      </c>
      <c r="G96" s="4">
        <v>13.04</v>
      </c>
      <c r="H96" s="4">
        <v>13.93</v>
      </c>
      <c r="I96" s="4"/>
      <c r="J96" s="4"/>
      <c r="L96" s="1" t="s">
        <v>237</v>
      </c>
      <c r="M96" s="1">
        <v>10</v>
      </c>
      <c r="N96" s="1">
        <v>15000</v>
      </c>
      <c r="O96" s="1">
        <v>550</v>
      </c>
      <c r="P96" s="1">
        <v>90</v>
      </c>
      <c r="Q96" s="5"/>
      <c r="R96" s="5"/>
      <c r="S96" s="15">
        <v>30</v>
      </c>
      <c r="T96" s="12">
        <v>15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3"/>
      <c r="AH96" s="12">
        <v>26</v>
      </c>
      <c r="AI96" s="12">
        <v>13</v>
      </c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3"/>
      <c r="AW96" s="1">
        <v>2</v>
      </c>
      <c r="AX96" s="1">
        <v>1</v>
      </c>
    </row>
    <row r="97" spans="2:52" ht="15.75" customHeight="1" x14ac:dyDescent="0.25">
      <c r="B97" s="1" t="s">
        <v>236</v>
      </c>
      <c r="C97" s="4">
        <v>700</v>
      </c>
      <c r="D97" s="1">
        <v>49.83</v>
      </c>
      <c r="E97" s="1">
        <v>41.78</v>
      </c>
      <c r="F97" s="4">
        <v>-0.22</v>
      </c>
      <c r="G97" s="4">
        <v>16.77</v>
      </c>
      <c r="H97" s="4">
        <v>17.82</v>
      </c>
      <c r="I97" s="4"/>
      <c r="J97" s="4"/>
      <c r="L97" s="1" t="s">
        <v>239</v>
      </c>
      <c r="M97" s="1">
        <v>10</v>
      </c>
      <c r="N97" s="1">
        <v>15000</v>
      </c>
      <c r="O97" s="1">
        <v>600</v>
      </c>
      <c r="P97" s="1">
        <v>90</v>
      </c>
      <c r="Q97" s="8"/>
      <c r="R97" s="8"/>
      <c r="S97" s="9">
        <v>20</v>
      </c>
      <c r="T97" s="1">
        <v>20</v>
      </c>
      <c r="U97" s="1">
        <v>20</v>
      </c>
      <c r="AG97" s="10"/>
      <c r="AH97" s="1">
        <v>16</v>
      </c>
      <c r="AI97" s="1">
        <v>16</v>
      </c>
      <c r="AJ97" s="1">
        <v>16</v>
      </c>
      <c r="AV97" s="10"/>
      <c r="AW97" s="1">
        <v>1</v>
      </c>
      <c r="AX97" s="1">
        <v>1</v>
      </c>
      <c r="AY97" s="1">
        <v>1</v>
      </c>
    </row>
    <row r="98" spans="2:52" ht="15.75" customHeight="1" x14ac:dyDescent="0.25">
      <c r="B98" s="1" t="s">
        <v>238</v>
      </c>
      <c r="C98" s="4">
        <v>570</v>
      </c>
      <c r="D98" s="4">
        <v>51.07</v>
      </c>
      <c r="E98" s="4">
        <v>42.29</v>
      </c>
      <c r="F98" s="4">
        <v>-0.25</v>
      </c>
      <c r="G98" s="4">
        <v>13.48</v>
      </c>
      <c r="H98" s="4">
        <v>14.25</v>
      </c>
      <c r="I98" s="4"/>
      <c r="J98" s="4"/>
      <c r="L98" s="1" t="s">
        <v>240</v>
      </c>
      <c r="M98" s="1">
        <v>3.3</v>
      </c>
      <c r="N98" s="1">
        <f>$M98*1.6*1000+200</f>
        <v>5480</v>
      </c>
      <c r="O98" s="1">
        <v>550</v>
      </c>
      <c r="P98" s="1">
        <v>70</v>
      </c>
      <c r="Q98" s="11"/>
      <c r="R98" s="11"/>
      <c r="S98" s="15">
        <v>20</v>
      </c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3"/>
      <c r="AH98" s="12">
        <v>14</v>
      </c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3"/>
      <c r="AW98" s="1">
        <v>1</v>
      </c>
    </row>
    <row r="99" spans="2:52" ht="15.75" customHeight="1" x14ac:dyDescent="0.25">
      <c r="B99" s="1" t="s">
        <v>238</v>
      </c>
      <c r="C99" s="1">
        <v>570</v>
      </c>
      <c r="D99" s="1">
        <v>51.07</v>
      </c>
      <c r="E99" s="1">
        <v>42.29</v>
      </c>
      <c r="F99" s="1">
        <v>-0.25</v>
      </c>
      <c r="G99" s="1">
        <v>13.48</v>
      </c>
      <c r="H99" s="1">
        <v>14.25</v>
      </c>
      <c r="L99" s="1" t="s">
        <v>242</v>
      </c>
      <c r="M99" s="1">
        <v>3</v>
      </c>
      <c r="N99" s="1">
        <v>4950</v>
      </c>
      <c r="O99" s="1">
        <v>600</v>
      </c>
      <c r="P99" s="1">
        <v>90</v>
      </c>
      <c r="Q99" s="8"/>
      <c r="R99" s="8"/>
      <c r="S99" s="15">
        <v>15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3"/>
      <c r="AH99" s="12">
        <v>12.5</v>
      </c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3"/>
      <c r="AW99" s="1">
        <v>1</v>
      </c>
    </row>
    <row r="100" spans="2:52" ht="15.75" customHeight="1" x14ac:dyDescent="0.25">
      <c r="B100" s="4" t="s">
        <v>241</v>
      </c>
      <c r="C100" s="4">
        <v>585</v>
      </c>
      <c r="D100" s="4">
        <v>51.5</v>
      </c>
      <c r="E100" s="4">
        <v>43.27</v>
      </c>
      <c r="F100" s="4">
        <v>-0.25</v>
      </c>
      <c r="G100" s="4">
        <v>13.52</v>
      </c>
      <c r="H100" s="4">
        <v>14.45</v>
      </c>
      <c r="I100" s="4"/>
      <c r="J100" s="4"/>
      <c r="L100" s="1" t="s">
        <v>244</v>
      </c>
      <c r="M100" s="1">
        <v>3</v>
      </c>
      <c r="N100" s="1">
        <v>4950</v>
      </c>
      <c r="O100" s="1">
        <v>500</v>
      </c>
      <c r="P100" s="1">
        <v>70</v>
      </c>
      <c r="Q100" s="5"/>
      <c r="R100" s="5"/>
      <c r="S100" s="15">
        <v>15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3"/>
      <c r="AH100" s="12">
        <v>13</v>
      </c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3"/>
      <c r="AW100" s="1">
        <v>1</v>
      </c>
    </row>
    <row r="101" spans="2:52" ht="15.75" customHeight="1" x14ac:dyDescent="0.25">
      <c r="B101" s="1" t="s">
        <v>397</v>
      </c>
      <c r="C101" s="4">
        <v>610</v>
      </c>
      <c r="D101" s="4">
        <v>49</v>
      </c>
      <c r="E101" s="4">
        <v>40.799999999999997</v>
      </c>
      <c r="F101" s="4">
        <v>-0.25</v>
      </c>
      <c r="G101" s="4">
        <v>14.96</v>
      </c>
      <c r="H101" s="4">
        <v>15.86</v>
      </c>
      <c r="I101" s="4"/>
      <c r="J101" s="4"/>
      <c r="L101" s="1" t="s">
        <v>246</v>
      </c>
      <c r="M101" s="1">
        <v>5</v>
      </c>
      <c r="N101" s="1">
        <v>8250</v>
      </c>
      <c r="O101" s="1">
        <v>600</v>
      </c>
      <c r="P101" s="1">
        <v>90</v>
      </c>
      <c r="Q101" s="24"/>
      <c r="R101" s="24"/>
      <c r="S101" s="15">
        <v>15</v>
      </c>
      <c r="T101" s="12">
        <v>15</v>
      </c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3"/>
      <c r="AH101" s="12">
        <v>11</v>
      </c>
      <c r="AI101" s="12">
        <v>11</v>
      </c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3"/>
      <c r="AW101" s="1">
        <v>1</v>
      </c>
      <c r="AX101" s="1">
        <v>1</v>
      </c>
    </row>
    <row r="102" spans="2:52" ht="15.75" customHeight="1" x14ac:dyDescent="0.25">
      <c r="B102" s="1" t="s">
        <v>243</v>
      </c>
      <c r="C102" s="4">
        <v>700</v>
      </c>
      <c r="D102" s="4">
        <v>49.77</v>
      </c>
      <c r="E102" s="4">
        <v>41.78</v>
      </c>
      <c r="F102" s="4">
        <v>-0.25</v>
      </c>
      <c r="G102" s="4">
        <v>16.760000000000002</v>
      </c>
      <c r="H102" s="4">
        <v>17.809999999999999</v>
      </c>
      <c r="I102" s="4"/>
      <c r="J102" s="4"/>
      <c r="L102" s="1" t="s">
        <v>248</v>
      </c>
      <c r="M102" s="1">
        <v>5</v>
      </c>
      <c r="N102" s="1">
        <v>7500</v>
      </c>
      <c r="O102" s="1">
        <v>600</v>
      </c>
      <c r="P102" s="1">
        <v>90</v>
      </c>
      <c r="Q102" s="25"/>
      <c r="R102" s="25"/>
      <c r="S102" s="9">
        <v>20</v>
      </c>
      <c r="T102" s="1">
        <v>20</v>
      </c>
      <c r="AG102" s="10"/>
      <c r="AH102" s="12">
        <v>16</v>
      </c>
      <c r="AI102" s="12">
        <v>16</v>
      </c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3"/>
      <c r="AW102" s="1">
        <v>1</v>
      </c>
      <c r="AX102" s="1">
        <v>1</v>
      </c>
    </row>
    <row r="103" spans="2:52" ht="15.75" customHeight="1" x14ac:dyDescent="0.25">
      <c r="B103" s="14" t="s">
        <v>245</v>
      </c>
      <c r="C103" s="4">
        <v>550</v>
      </c>
      <c r="D103" s="4">
        <v>49.9</v>
      </c>
      <c r="E103" s="4">
        <v>41.96</v>
      </c>
      <c r="F103" s="4">
        <v>-0.26</v>
      </c>
      <c r="G103" s="4">
        <v>13.11</v>
      </c>
      <c r="H103" s="23">
        <v>14</v>
      </c>
      <c r="I103" s="23"/>
      <c r="J103" s="23"/>
      <c r="L103" s="1" t="s">
        <v>250</v>
      </c>
      <c r="M103" s="1">
        <v>5</v>
      </c>
      <c r="N103" s="1">
        <v>8250</v>
      </c>
      <c r="O103" s="1">
        <v>550</v>
      </c>
      <c r="P103" s="1">
        <v>90</v>
      </c>
      <c r="Q103" s="8"/>
      <c r="R103" s="8"/>
      <c r="S103" s="15">
        <v>15</v>
      </c>
      <c r="T103" s="12">
        <v>15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3"/>
      <c r="AH103" s="12">
        <v>13</v>
      </c>
      <c r="AI103" s="12">
        <v>13</v>
      </c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3"/>
      <c r="AW103" s="1">
        <v>1</v>
      </c>
      <c r="AX103" s="1">
        <v>1</v>
      </c>
    </row>
    <row r="104" spans="2:52" ht="15.75" customHeight="1" x14ac:dyDescent="0.25">
      <c r="B104" s="14" t="s">
        <v>247</v>
      </c>
      <c r="C104" s="4">
        <v>550</v>
      </c>
      <c r="D104" s="4">
        <v>49.9</v>
      </c>
      <c r="E104" s="4">
        <v>41.96</v>
      </c>
      <c r="F104" s="4">
        <v>-0.26</v>
      </c>
      <c r="G104" s="4">
        <v>13.11</v>
      </c>
      <c r="H104" s="23">
        <v>14</v>
      </c>
      <c r="I104" s="23"/>
      <c r="J104" s="23"/>
      <c r="L104" s="1" t="s">
        <v>252</v>
      </c>
      <c r="M104" s="1">
        <v>6</v>
      </c>
      <c r="N104" s="1">
        <v>9900</v>
      </c>
      <c r="O104" s="1">
        <v>600</v>
      </c>
      <c r="P104" s="1">
        <v>90</v>
      </c>
      <c r="Q104" s="5"/>
      <c r="R104" s="5"/>
      <c r="S104" s="15">
        <v>15</v>
      </c>
      <c r="T104" s="12">
        <v>15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3"/>
      <c r="AH104" s="12">
        <v>11</v>
      </c>
      <c r="AI104" s="12">
        <v>11</v>
      </c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3"/>
      <c r="AW104" s="1">
        <v>1</v>
      </c>
      <c r="AX104" s="1">
        <v>1</v>
      </c>
    </row>
    <row r="105" spans="2:52" ht="15.75" customHeight="1" x14ac:dyDescent="0.25">
      <c r="B105" s="1" t="s">
        <v>249</v>
      </c>
      <c r="C105" s="1">
        <v>560</v>
      </c>
      <c r="D105" s="1">
        <v>51.1</v>
      </c>
      <c r="E105" s="1">
        <v>42.4</v>
      </c>
      <c r="F105" s="1">
        <v>-0.26</v>
      </c>
      <c r="G105" s="4">
        <v>13.21</v>
      </c>
      <c r="H105" s="4">
        <v>13.95</v>
      </c>
      <c r="I105" s="4"/>
      <c r="J105" s="4"/>
      <c r="L105" s="1" t="s">
        <v>254</v>
      </c>
      <c r="M105" s="1">
        <v>6</v>
      </c>
      <c r="N105" s="1">
        <f>$M105*1.6*1000+200</f>
        <v>9800.0000000000018</v>
      </c>
      <c r="O105" s="1">
        <v>550</v>
      </c>
      <c r="P105" s="1">
        <v>90</v>
      </c>
      <c r="Q105" s="8"/>
      <c r="R105" s="8"/>
      <c r="S105" s="15">
        <v>20</v>
      </c>
      <c r="T105" s="12">
        <v>20</v>
      </c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3"/>
      <c r="AH105" s="12">
        <v>14</v>
      </c>
      <c r="AI105" s="12">
        <v>14</v>
      </c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3"/>
      <c r="AW105" s="1">
        <v>1</v>
      </c>
      <c r="AX105" s="1">
        <v>1</v>
      </c>
    </row>
    <row r="106" spans="2:52" ht="15.75" customHeight="1" x14ac:dyDescent="0.25">
      <c r="B106" s="1" t="s">
        <v>398</v>
      </c>
      <c r="C106" s="1">
        <v>590</v>
      </c>
      <c r="D106" s="1">
        <v>54.63</v>
      </c>
      <c r="E106" s="1">
        <v>44.3</v>
      </c>
      <c r="F106" s="1">
        <v>-0.26</v>
      </c>
      <c r="G106" s="1">
        <v>13.17</v>
      </c>
      <c r="H106" s="1">
        <v>13.81</v>
      </c>
      <c r="L106" s="1" t="s">
        <v>256</v>
      </c>
      <c r="M106" s="1">
        <v>6</v>
      </c>
      <c r="N106" s="1">
        <v>9000</v>
      </c>
      <c r="O106" s="1">
        <v>600</v>
      </c>
      <c r="P106" s="1">
        <v>90</v>
      </c>
      <c r="Q106" s="5"/>
      <c r="R106" s="5"/>
      <c r="S106" s="9">
        <v>20</v>
      </c>
      <c r="T106" s="1">
        <v>20</v>
      </c>
      <c r="AG106" s="10"/>
      <c r="AH106" s="12">
        <v>16</v>
      </c>
      <c r="AI106" s="12">
        <v>16</v>
      </c>
      <c r="AV106" s="10"/>
      <c r="AW106" s="1">
        <v>1</v>
      </c>
      <c r="AX106" s="1">
        <v>1</v>
      </c>
    </row>
    <row r="107" spans="2:52" ht="15.75" customHeight="1" x14ac:dyDescent="0.25">
      <c r="B107" s="1" t="s">
        <v>251</v>
      </c>
      <c r="C107" s="1">
        <v>505</v>
      </c>
      <c r="D107" s="1">
        <v>45.52</v>
      </c>
      <c r="E107" s="1">
        <v>37.479999999999997</v>
      </c>
      <c r="F107" s="1">
        <v>-0.28000000000000003</v>
      </c>
      <c r="G107" s="4">
        <v>13.48</v>
      </c>
      <c r="H107" s="4">
        <v>13.92</v>
      </c>
      <c r="I107" s="4"/>
      <c r="J107" s="4"/>
      <c r="L107" s="1" t="s">
        <v>258</v>
      </c>
      <c r="M107" s="1">
        <v>6</v>
      </c>
      <c r="N107" s="1">
        <v>9900</v>
      </c>
      <c r="O107" s="1">
        <v>550</v>
      </c>
      <c r="P107" s="1">
        <v>90</v>
      </c>
      <c r="Q107" s="8"/>
      <c r="R107" s="8"/>
      <c r="S107" s="15">
        <v>15</v>
      </c>
      <c r="T107" s="12">
        <v>15</v>
      </c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3"/>
      <c r="AH107" s="12">
        <v>13</v>
      </c>
      <c r="AI107" s="12">
        <v>13</v>
      </c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3"/>
      <c r="AW107" s="1">
        <v>1</v>
      </c>
      <c r="AX107" s="1">
        <v>1</v>
      </c>
    </row>
    <row r="108" spans="2:52" ht="15.75" customHeight="1" x14ac:dyDescent="0.25">
      <c r="B108" s="1" t="s">
        <v>71</v>
      </c>
      <c r="C108" s="4">
        <v>615</v>
      </c>
      <c r="D108" s="4">
        <v>48.5</v>
      </c>
      <c r="E108" s="4">
        <v>40.590000000000003</v>
      </c>
      <c r="F108" s="4">
        <v>-0.24</v>
      </c>
      <c r="G108" s="4">
        <v>15.08</v>
      </c>
      <c r="H108" s="4">
        <v>16</v>
      </c>
      <c r="I108" s="4"/>
      <c r="J108" s="4"/>
      <c r="L108" s="1" t="s">
        <v>260</v>
      </c>
      <c r="M108" s="1">
        <v>7</v>
      </c>
      <c r="N108" s="1">
        <v>11250</v>
      </c>
      <c r="O108" s="1">
        <v>600</v>
      </c>
      <c r="P108" s="7">
        <v>90</v>
      </c>
      <c r="Q108" s="5"/>
      <c r="R108" s="5"/>
      <c r="S108" s="4">
        <v>20</v>
      </c>
      <c r="T108" s="1">
        <v>20</v>
      </c>
      <c r="U108" s="1">
        <v>20</v>
      </c>
      <c r="AG108" s="10"/>
      <c r="AH108" s="12">
        <v>16</v>
      </c>
      <c r="AI108" s="12">
        <v>16</v>
      </c>
      <c r="AJ108" s="12">
        <v>16</v>
      </c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3"/>
      <c r="AW108" s="1">
        <v>1</v>
      </c>
      <c r="AX108" s="1">
        <v>1</v>
      </c>
      <c r="AY108" s="1">
        <v>1</v>
      </c>
    </row>
    <row r="109" spans="2:52" ht="15.75" customHeight="1" x14ac:dyDescent="0.25">
      <c r="B109" s="1" t="s">
        <v>73</v>
      </c>
      <c r="C109" s="4">
        <v>620</v>
      </c>
      <c r="D109" s="4">
        <v>48.5</v>
      </c>
      <c r="E109" s="4">
        <v>40.24</v>
      </c>
      <c r="F109" s="4">
        <v>-0.24</v>
      </c>
      <c r="G109" s="4">
        <v>15.41</v>
      </c>
      <c r="H109" s="4">
        <v>16.260000000000002</v>
      </c>
      <c r="I109" s="4"/>
      <c r="J109" s="4"/>
      <c r="L109" s="1" t="s">
        <v>262</v>
      </c>
      <c r="M109" s="1">
        <v>8</v>
      </c>
      <c r="N109" s="1">
        <v>13200</v>
      </c>
      <c r="O109" s="1">
        <v>550</v>
      </c>
      <c r="P109" s="7">
        <v>90</v>
      </c>
      <c r="Q109" s="24"/>
      <c r="R109" s="24"/>
      <c r="S109" s="12">
        <v>30</v>
      </c>
      <c r="T109" s="12">
        <v>15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5">
        <v>26</v>
      </c>
      <c r="AI109" s="12">
        <v>13</v>
      </c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3"/>
      <c r="AW109" s="1">
        <v>2</v>
      </c>
      <c r="AX109" s="1">
        <v>1</v>
      </c>
    </row>
    <row r="110" spans="2:52" ht="15.75" customHeight="1" x14ac:dyDescent="0.25">
      <c r="B110" s="1" t="s">
        <v>75</v>
      </c>
      <c r="C110" s="4">
        <v>625</v>
      </c>
      <c r="D110" s="4">
        <v>48.7</v>
      </c>
      <c r="E110" s="4">
        <v>40.46</v>
      </c>
      <c r="F110" s="4">
        <v>-0.24</v>
      </c>
      <c r="G110" s="4">
        <v>15.45</v>
      </c>
      <c r="H110" s="4">
        <v>16.32</v>
      </c>
      <c r="I110" s="4"/>
      <c r="J110" s="4"/>
      <c r="L110" s="1" t="s">
        <v>264</v>
      </c>
      <c r="M110" s="1">
        <v>8</v>
      </c>
      <c r="N110" s="1">
        <f>$M110*1.6*1000+200</f>
        <v>13000</v>
      </c>
      <c r="O110" s="1">
        <v>550</v>
      </c>
      <c r="P110" s="7">
        <v>120</v>
      </c>
      <c r="Q110" s="5"/>
      <c r="R110" s="5"/>
      <c r="S110" s="12">
        <v>25</v>
      </c>
      <c r="T110" s="12">
        <v>25</v>
      </c>
      <c r="U110" s="12">
        <v>30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5">
        <v>16</v>
      </c>
      <c r="AI110" s="12">
        <v>16</v>
      </c>
      <c r="AJ110" s="12">
        <v>20</v>
      </c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3"/>
      <c r="AW110" s="1">
        <v>1</v>
      </c>
      <c r="AX110" s="1">
        <v>1</v>
      </c>
      <c r="AY110" s="1">
        <v>1</v>
      </c>
    </row>
    <row r="111" spans="2:52" ht="15.75" customHeight="1" x14ac:dyDescent="0.25">
      <c r="B111" s="1" t="s">
        <v>253</v>
      </c>
      <c r="C111" s="1">
        <v>450</v>
      </c>
      <c r="D111" s="1">
        <v>49.75</v>
      </c>
      <c r="E111" s="1">
        <v>41</v>
      </c>
      <c r="F111" s="1">
        <v>-0.33</v>
      </c>
      <c r="G111" s="4">
        <v>10.98</v>
      </c>
      <c r="H111" s="4">
        <v>11.55</v>
      </c>
      <c r="I111" s="4"/>
      <c r="J111" s="4"/>
      <c r="L111" s="1" t="s">
        <v>266</v>
      </c>
      <c r="M111" s="1">
        <v>8</v>
      </c>
      <c r="N111" s="1">
        <v>12000</v>
      </c>
      <c r="O111" s="1">
        <v>600</v>
      </c>
      <c r="P111" s="7">
        <v>90</v>
      </c>
      <c r="Q111" s="16"/>
      <c r="R111" s="16"/>
      <c r="S111" s="4">
        <v>20</v>
      </c>
      <c r="T111" s="1">
        <v>20</v>
      </c>
      <c r="U111" s="1">
        <v>20</v>
      </c>
      <c r="AG111" s="4"/>
      <c r="AH111" s="15">
        <v>16</v>
      </c>
      <c r="AI111" s="12">
        <v>16</v>
      </c>
      <c r="AJ111" s="12">
        <v>16</v>
      </c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3"/>
      <c r="AW111" s="26">
        <v>1</v>
      </c>
      <c r="AX111" s="26">
        <v>1</v>
      </c>
      <c r="AY111" s="26">
        <v>1</v>
      </c>
      <c r="AZ111" s="26"/>
    </row>
    <row r="112" spans="2:52" ht="15.75" customHeight="1" x14ac:dyDescent="0.25">
      <c r="B112" s="1" t="s">
        <v>255</v>
      </c>
      <c r="C112" s="1">
        <v>550</v>
      </c>
      <c r="D112" s="1">
        <v>50</v>
      </c>
      <c r="E112" s="1">
        <v>41.9</v>
      </c>
      <c r="F112" s="1">
        <v>-0.28999999999999998</v>
      </c>
      <c r="G112" s="4">
        <v>13.13</v>
      </c>
      <c r="H112" s="4">
        <v>13.75</v>
      </c>
      <c r="I112" s="4"/>
      <c r="J112" s="4"/>
      <c r="L112" s="1" t="s">
        <v>267</v>
      </c>
      <c r="M112" s="1">
        <v>25</v>
      </c>
      <c r="N112" s="1">
        <v>41250</v>
      </c>
      <c r="O112" s="1">
        <v>1000</v>
      </c>
      <c r="P112" s="1">
        <v>250</v>
      </c>
      <c r="Q112" s="5"/>
      <c r="R112" s="5"/>
      <c r="S112" s="15">
        <v>42</v>
      </c>
      <c r="T112" s="12">
        <v>42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3"/>
      <c r="AH112" s="12">
        <v>37.5</v>
      </c>
      <c r="AI112" s="12">
        <v>37.5</v>
      </c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3"/>
      <c r="AW112" s="1">
        <v>3</v>
      </c>
      <c r="AX112" s="1">
        <v>3</v>
      </c>
    </row>
    <row r="113" spans="2:56" ht="15.75" customHeight="1" x14ac:dyDescent="0.25">
      <c r="B113" s="1" t="s">
        <v>257</v>
      </c>
      <c r="C113" s="1">
        <v>440</v>
      </c>
      <c r="D113" s="1">
        <v>49.6</v>
      </c>
      <c r="E113" s="1">
        <v>40.799999999999997</v>
      </c>
      <c r="F113" s="1">
        <v>-0.33</v>
      </c>
      <c r="G113" s="4">
        <v>10.78</v>
      </c>
      <c r="H113" s="4">
        <v>11.34</v>
      </c>
      <c r="I113" s="4"/>
      <c r="J113" s="4"/>
      <c r="L113" s="1" t="s">
        <v>268</v>
      </c>
      <c r="M113" s="1">
        <v>30</v>
      </c>
      <c r="N113" s="1">
        <v>49500</v>
      </c>
      <c r="O113" s="1">
        <v>1000</v>
      </c>
      <c r="P113" s="1">
        <v>250</v>
      </c>
      <c r="Q113" s="16"/>
      <c r="R113" s="16"/>
      <c r="S113" s="15">
        <v>42</v>
      </c>
      <c r="T113" s="12">
        <v>42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3"/>
      <c r="AH113" s="12">
        <v>37.5</v>
      </c>
      <c r="AI113" s="12">
        <v>37.5</v>
      </c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3"/>
      <c r="AW113" s="1">
        <v>3</v>
      </c>
      <c r="AX113" s="1">
        <v>3</v>
      </c>
    </row>
    <row r="114" spans="2:56" ht="15.75" customHeight="1" x14ac:dyDescent="0.25">
      <c r="B114" s="1" t="s">
        <v>259</v>
      </c>
      <c r="C114" s="1">
        <v>505</v>
      </c>
      <c r="D114" s="1">
        <v>45.8</v>
      </c>
      <c r="E114" s="1">
        <v>38.4</v>
      </c>
      <c r="F114" s="1">
        <v>-0.33</v>
      </c>
      <c r="G114" s="4">
        <v>13.15</v>
      </c>
      <c r="H114" s="4">
        <v>13.84</v>
      </c>
      <c r="I114" s="4"/>
      <c r="J114" s="4"/>
      <c r="L114" s="1" t="s">
        <v>269</v>
      </c>
      <c r="M114" s="1">
        <v>3</v>
      </c>
      <c r="N114" s="1">
        <v>3300</v>
      </c>
      <c r="O114" s="1">
        <v>500</v>
      </c>
      <c r="P114" s="1">
        <v>90</v>
      </c>
      <c r="Q114" s="5">
        <v>70396</v>
      </c>
      <c r="R114" s="5"/>
      <c r="S114" s="15">
        <v>17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3"/>
      <c r="AH114" s="12">
        <v>14</v>
      </c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3"/>
      <c r="AW114" s="1">
        <v>1</v>
      </c>
    </row>
    <row r="115" spans="2:56" ht="15.75" customHeight="1" x14ac:dyDescent="0.25">
      <c r="B115" s="1" t="s">
        <v>261</v>
      </c>
      <c r="C115" s="1">
        <v>545</v>
      </c>
      <c r="D115" s="1">
        <v>49.81</v>
      </c>
      <c r="E115" s="1">
        <v>41.8</v>
      </c>
      <c r="F115" s="1">
        <v>-0.27</v>
      </c>
      <c r="G115" s="4">
        <v>13.04</v>
      </c>
      <c r="H115" s="23">
        <v>13.92</v>
      </c>
      <c r="I115" s="23"/>
      <c r="J115" s="23"/>
      <c r="L115" s="1" t="s">
        <v>270</v>
      </c>
      <c r="M115" s="1">
        <v>5</v>
      </c>
      <c r="N115" s="1">
        <v>5500</v>
      </c>
      <c r="O115" s="1">
        <v>500</v>
      </c>
      <c r="P115" s="7">
        <v>90</v>
      </c>
      <c r="Q115" s="16">
        <v>70397</v>
      </c>
      <c r="R115" s="16"/>
      <c r="S115" s="12">
        <v>31.25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5">
        <v>25</v>
      </c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3"/>
      <c r="AW115" s="1">
        <v>2</v>
      </c>
    </row>
    <row r="116" spans="2:56" ht="15.75" customHeight="1" x14ac:dyDescent="0.25">
      <c r="L116" s="1" t="s">
        <v>271</v>
      </c>
      <c r="M116" s="1">
        <v>30</v>
      </c>
      <c r="N116" s="1">
        <v>60000</v>
      </c>
      <c r="O116" s="1">
        <v>800</v>
      </c>
      <c r="P116" s="7">
        <v>180</v>
      </c>
      <c r="Q116" s="5">
        <v>206193</v>
      </c>
      <c r="R116" s="5" t="s">
        <v>62</v>
      </c>
      <c r="S116" s="1">
        <v>60</v>
      </c>
      <c r="T116" s="1">
        <v>60</v>
      </c>
      <c r="U116" s="1">
        <v>60</v>
      </c>
      <c r="V116" s="1">
        <v>60</v>
      </c>
      <c r="AH116" s="6">
        <v>48</v>
      </c>
      <c r="AI116" s="1">
        <v>48</v>
      </c>
      <c r="AJ116" s="1">
        <v>48</v>
      </c>
      <c r="AK116" s="1">
        <v>48</v>
      </c>
      <c r="AV116" s="7"/>
      <c r="AW116" s="27">
        <v>2</v>
      </c>
      <c r="AX116" s="27">
        <v>2</v>
      </c>
      <c r="AY116" s="27">
        <v>2</v>
      </c>
      <c r="AZ116" s="27">
        <v>2</v>
      </c>
    </row>
    <row r="117" spans="2:56" ht="15.75" customHeight="1" x14ac:dyDescent="0.25">
      <c r="L117" s="1" t="s">
        <v>272</v>
      </c>
      <c r="M117" s="1">
        <v>30</v>
      </c>
      <c r="N117" s="1">
        <v>45000</v>
      </c>
      <c r="O117" s="1">
        <v>800</v>
      </c>
      <c r="P117" s="1">
        <v>180</v>
      </c>
      <c r="Q117" s="16"/>
      <c r="R117" s="16" t="s">
        <v>387</v>
      </c>
      <c r="S117" s="6">
        <v>60</v>
      </c>
      <c r="T117" s="1">
        <v>60</v>
      </c>
      <c r="U117" s="1">
        <v>60</v>
      </c>
      <c r="V117" s="1">
        <v>60</v>
      </c>
      <c r="AG117" s="7"/>
      <c r="AH117" s="1">
        <v>48</v>
      </c>
      <c r="AI117" s="1">
        <v>48</v>
      </c>
      <c r="AJ117" s="1">
        <v>48</v>
      </c>
      <c r="AK117" s="1">
        <v>48</v>
      </c>
      <c r="AV117" s="7"/>
      <c r="AW117" s="1">
        <v>2</v>
      </c>
      <c r="AX117" s="1">
        <v>2</v>
      </c>
      <c r="AY117" s="1">
        <v>2</v>
      </c>
      <c r="AZ117" s="1">
        <v>2</v>
      </c>
    </row>
    <row r="118" spans="2:56" ht="15.75" customHeight="1" x14ac:dyDescent="0.25">
      <c r="L118" s="1" t="s">
        <v>273</v>
      </c>
      <c r="M118" s="1">
        <v>50</v>
      </c>
      <c r="N118" s="1">
        <v>75000</v>
      </c>
      <c r="O118" s="1">
        <v>1100</v>
      </c>
      <c r="P118" s="1">
        <v>180</v>
      </c>
      <c r="Q118" s="5"/>
      <c r="R118" s="5"/>
      <c r="S118" s="6">
        <v>50</v>
      </c>
      <c r="T118" s="1">
        <v>50</v>
      </c>
      <c r="U118" s="1">
        <v>50</v>
      </c>
      <c r="V118" s="1">
        <v>50</v>
      </c>
      <c r="AG118" s="7"/>
      <c r="AH118" s="1">
        <v>40</v>
      </c>
      <c r="AI118" s="1">
        <v>40</v>
      </c>
      <c r="AJ118" s="1">
        <v>40</v>
      </c>
      <c r="AK118" s="1">
        <v>40</v>
      </c>
      <c r="AV118" s="7"/>
      <c r="AW118" s="1">
        <v>2</v>
      </c>
      <c r="AX118" s="1">
        <v>2</v>
      </c>
      <c r="AY118" s="1">
        <v>2</v>
      </c>
      <c r="AZ118" s="1">
        <v>2</v>
      </c>
    </row>
    <row r="119" spans="2:56" ht="15.75" customHeight="1" x14ac:dyDescent="0.25">
      <c r="L119" s="1" t="s">
        <v>274</v>
      </c>
      <c r="M119" s="1">
        <v>6</v>
      </c>
      <c r="N119" s="1">
        <v>9000</v>
      </c>
      <c r="O119" s="1">
        <v>550</v>
      </c>
      <c r="P119" s="1">
        <v>80</v>
      </c>
      <c r="Q119" s="16"/>
      <c r="R119" s="16"/>
      <c r="S119" s="6">
        <v>20</v>
      </c>
      <c r="T119" s="1">
        <v>20</v>
      </c>
      <c r="AG119" s="7"/>
      <c r="AH119" s="1">
        <v>16</v>
      </c>
      <c r="AI119" s="1">
        <v>16</v>
      </c>
      <c r="AV119" s="7"/>
      <c r="AW119" s="1">
        <v>1</v>
      </c>
      <c r="AX119" s="1">
        <v>1</v>
      </c>
    </row>
    <row r="120" spans="2:56" ht="15.75" customHeight="1" x14ac:dyDescent="0.25">
      <c r="L120" s="1" t="s">
        <v>275</v>
      </c>
      <c r="M120" s="1">
        <v>15</v>
      </c>
      <c r="N120" s="28">
        <v>25500</v>
      </c>
      <c r="O120" s="1">
        <v>800</v>
      </c>
      <c r="P120" s="1">
        <v>200</v>
      </c>
      <c r="Q120" s="5"/>
      <c r="R120" s="5"/>
      <c r="S120" s="9">
        <v>40</v>
      </c>
      <c r="T120" s="1">
        <v>40</v>
      </c>
      <c r="AG120" s="10"/>
      <c r="AH120" s="12">
        <v>32</v>
      </c>
      <c r="AI120" s="12">
        <v>32</v>
      </c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3"/>
      <c r="AW120" s="1">
        <v>2</v>
      </c>
      <c r="AX120" s="1">
        <v>2</v>
      </c>
    </row>
    <row r="121" spans="2:56" ht="15.75" customHeight="1" x14ac:dyDescent="0.25">
      <c r="L121" s="1" t="s">
        <v>276</v>
      </c>
      <c r="M121" s="1">
        <v>20</v>
      </c>
      <c r="N121" s="1">
        <v>34000</v>
      </c>
      <c r="O121" s="1">
        <v>1100</v>
      </c>
      <c r="P121" s="1">
        <v>200</v>
      </c>
      <c r="Q121" s="16"/>
      <c r="R121" s="16"/>
      <c r="S121" s="9">
        <v>40</v>
      </c>
      <c r="T121" s="1">
        <v>40</v>
      </c>
      <c r="AG121" s="10"/>
      <c r="AH121" s="12">
        <v>32</v>
      </c>
      <c r="AI121" s="12">
        <v>32</v>
      </c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3"/>
      <c r="AW121" s="1">
        <v>2</v>
      </c>
      <c r="AX121" s="1">
        <v>2</v>
      </c>
    </row>
    <row r="122" spans="2:56" ht="15.75" customHeight="1" x14ac:dyDescent="0.25">
      <c r="L122" s="1" t="s">
        <v>277</v>
      </c>
      <c r="M122" s="1">
        <v>20</v>
      </c>
      <c r="N122" s="1">
        <v>34000</v>
      </c>
      <c r="O122" s="1">
        <v>800</v>
      </c>
      <c r="P122" s="1">
        <v>160</v>
      </c>
      <c r="Q122" s="5">
        <v>195100</v>
      </c>
      <c r="R122" s="5"/>
      <c r="S122" s="9">
        <v>50</v>
      </c>
      <c r="T122" s="1">
        <v>50</v>
      </c>
      <c r="U122" s="1">
        <v>25</v>
      </c>
      <c r="V122" s="1">
        <v>25</v>
      </c>
      <c r="AG122" s="10"/>
      <c r="AH122" s="1">
        <v>40</v>
      </c>
      <c r="AI122" s="1">
        <v>40</v>
      </c>
      <c r="AJ122" s="1">
        <v>20</v>
      </c>
      <c r="AK122" s="1">
        <v>20</v>
      </c>
      <c r="AV122" s="10"/>
      <c r="AW122" s="1">
        <v>2</v>
      </c>
      <c r="AX122" s="1">
        <v>2</v>
      </c>
      <c r="AY122" s="1">
        <v>1</v>
      </c>
      <c r="AZ122" s="1">
        <v>1</v>
      </c>
    </row>
    <row r="123" spans="2:56" ht="15.75" customHeight="1" x14ac:dyDescent="0.25">
      <c r="L123" s="1" t="s">
        <v>278</v>
      </c>
      <c r="M123" s="1">
        <v>25</v>
      </c>
      <c r="N123" s="1">
        <v>42500</v>
      </c>
      <c r="O123" s="1">
        <v>1100</v>
      </c>
      <c r="P123" s="1">
        <v>200</v>
      </c>
      <c r="Q123" s="16"/>
      <c r="R123" s="16"/>
      <c r="S123" s="9">
        <v>40</v>
      </c>
      <c r="T123" s="1">
        <v>40</v>
      </c>
      <c r="AG123" s="4"/>
      <c r="AH123" s="6">
        <v>32</v>
      </c>
      <c r="AI123" s="1">
        <v>32</v>
      </c>
      <c r="AV123" s="10"/>
      <c r="AW123" s="1">
        <v>2</v>
      </c>
      <c r="AX123" s="1">
        <v>2</v>
      </c>
    </row>
    <row r="124" spans="2:56" ht="15.75" customHeight="1" x14ac:dyDescent="0.25">
      <c r="L124" s="1" t="s">
        <v>279</v>
      </c>
      <c r="M124" s="1">
        <v>25</v>
      </c>
      <c r="N124" s="1">
        <v>42500</v>
      </c>
      <c r="O124" s="1">
        <v>800</v>
      </c>
      <c r="P124" s="1">
        <v>160</v>
      </c>
      <c r="Q124" s="5"/>
      <c r="R124" s="5"/>
      <c r="S124" s="9">
        <v>50</v>
      </c>
      <c r="T124" s="1">
        <v>50</v>
      </c>
      <c r="U124" s="1">
        <v>25</v>
      </c>
      <c r="V124" s="1">
        <v>25</v>
      </c>
      <c r="AG124" s="10"/>
      <c r="AH124" s="12">
        <v>40</v>
      </c>
      <c r="AI124" s="12">
        <v>40</v>
      </c>
      <c r="AJ124" s="12">
        <v>20</v>
      </c>
      <c r="AK124" s="12">
        <v>20</v>
      </c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3"/>
      <c r="AW124" s="1">
        <v>2</v>
      </c>
      <c r="AX124" s="1">
        <v>2</v>
      </c>
      <c r="AY124" s="1">
        <v>1</v>
      </c>
      <c r="AZ124" s="1">
        <v>1</v>
      </c>
    </row>
    <row r="125" spans="2:56" ht="15.75" customHeight="1" x14ac:dyDescent="0.25">
      <c r="L125" s="1" t="s">
        <v>280</v>
      </c>
      <c r="M125" s="1">
        <v>30</v>
      </c>
      <c r="N125" s="1">
        <v>60000</v>
      </c>
      <c r="O125" s="1">
        <v>1100</v>
      </c>
      <c r="P125" s="1">
        <v>160</v>
      </c>
      <c r="Q125" s="16"/>
      <c r="R125" s="16"/>
      <c r="S125" s="9">
        <v>50</v>
      </c>
      <c r="T125" s="1">
        <v>40</v>
      </c>
      <c r="U125" s="1">
        <v>40</v>
      </c>
      <c r="AG125" s="10"/>
      <c r="AH125" s="12">
        <v>40</v>
      </c>
      <c r="AI125" s="12">
        <v>32</v>
      </c>
      <c r="AJ125" s="12">
        <v>32</v>
      </c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3"/>
      <c r="AW125" s="1">
        <v>2</v>
      </c>
      <c r="AX125" s="1">
        <v>2</v>
      </c>
      <c r="AY125" s="1">
        <v>2</v>
      </c>
    </row>
    <row r="126" spans="2:56" ht="15.75" customHeight="1" x14ac:dyDescent="0.25">
      <c r="L126" s="1" t="s">
        <v>281</v>
      </c>
      <c r="M126" s="1">
        <v>75</v>
      </c>
      <c r="N126" s="1">
        <v>127500</v>
      </c>
      <c r="O126" s="1">
        <v>800</v>
      </c>
      <c r="P126" s="1">
        <v>160</v>
      </c>
      <c r="Q126" s="5"/>
      <c r="R126" s="5"/>
      <c r="S126" s="9">
        <v>50</v>
      </c>
      <c r="T126" s="1">
        <v>50</v>
      </c>
      <c r="U126" s="1">
        <v>50</v>
      </c>
      <c r="V126" s="1">
        <v>50</v>
      </c>
      <c r="W126" s="1">
        <v>50</v>
      </c>
      <c r="X126" s="1">
        <v>50</v>
      </c>
      <c r="Y126" s="1">
        <v>50</v>
      </c>
      <c r="Z126" s="1">
        <v>50</v>
      </c>
      <c r="AG126" s="10"/>
      <c r="AH126" s="1">
        <v>40</v>
      </c>
      <c r="AI126" s="1">
        <v>40</v>
      </c>
      <c r="AJ126" s="1">
        <v>40</v>
      </c>
      <c r="AK126" s="1">
        <v>40</v>
      </c>
      <c r="AL126" s="1">
        <v>40</v>
      </c>
      <c r="AM126" s="1">
        <v>40</v>
      </c>
      <c r="AN126" s="1">
        <v>40</v>
      </c>
      <c r="AO126" s="1">
        <v>40</v>
      </c>
      <c r="AV126" s="10"/>
      <c r="AW126" s="1">
        <v>2</v>
      </c>
      <c r="AX126" s="1">
        <v>2</v>
      </c>
      <c r="AY126" s="1">
        <v>2</v>
      </c>
      <c r="AZ126" s="1">
        <v>2</v>
      </c>
      <c r="BA126" s="1">
        <v>2</v>
      </c>
      <c r="BB126" s="1">
        <v>2</v>
      </c>
      <c r="BC126" s="1">
        <v>2</v>
      </c>
      <c r="BD126" s="1">
        <v>2</v>
      </c>
    </row>
    <row r="127" spans="2:56" ht="15.75" customHeight="1" x14ac:dyDescent="0.25">
      <c r="L127" s="1" t="s">
        <v>282</v>
      </c>
      <c r="M127" s="1">
        <v>17</v>
      </c>
      <c r="N127" s="1">
        <v>25500</v>
      </c>
      <c r="O127" s="1">
        <v>1100</v>
      </c>
      <c r="P127" s="1">
        <v>200</v>
      </c>
      <c r="Q127" s="16"/>
      <c r="R127" s="16"/>
      <c r="S127" s="9">
        <v>30</v>
      </c>
      <c r="T127" s="1">
        <v>30</v>
      </c>
      <c r="AG127" s="10"/>
      <c r="AH127" s="12">
        <v>25</v>
      </c>
      <c r="AI127" s="12">
        <v>25</v>
      </c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3"/>
      <c r="AW127" s="1">
        <v>2</v>
      </c>
      <c r="AX127" s="1">
        <v>2</v>
      </c>
    </row>
    <row r="128" spans="2:56" ht="15.75" customHeight="1" x14ac:dyDescent="0.25">
      <c r="B128" s="4"/>
      <c r="L128" s="1" t="s">
        <v>283</v>
      </c>
      <c r="M128" s="1">
        <v>25</v>
      </c>
      <c r="N128" s="1">
        <v>45000</v>
      </c>
      <c r="O128" s="1">
        <v>1000</v>
      </c>
      <c r="P128" s="1">
        <v>390</v>
      </c>
      <c r="Q128" s="5"/>
      <c r="R128" s="5"/>
      <c r="S128" s="15">
        <v>43</v>
      </c>
      <c r="T128" s="12">
        <v>43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3"/>
      <c r="AH128" s="12">
        <v>33</v>
      </c>
      <c r="AI128" s="12">
        <v>33</v>
      </c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3"/>
      <c r="AW128" s="1">
        <v>3</v>
      </c>
      <c r="AX128" s="1">
        <v>3</v>
      </c>
    </row>
    <row r="129" spans="12:61" ht="15.75" customHeight="1" x14ac:dyDescent="0.25">
      <c r="L129" s="1" t="s">
        <v>284</v>
      </c>
      <c r="M129" s="1">
        <v>50</v>
      </c>
      <c r="N129" s="1">
        <v>75000</v>
      </c>
      <c r="O129" s="1">
        <v>1000</v>
      </c>
      <c r="P129" s="1">
        <v>188</v>
      </c>
      <c r="Q129" s="16"/>
      <c r="R129" s="16"/>
      <c r="S129" s="15">
        <v>30</v>
      </c>
      <c r="T129" s="12">
        <v>30</v>
      </c>
      <c r="U129" s="12">
        <v>30</v>
      </c>
      <c r="V129" s="12">
        <v>30</v>
      </c>
      <c r="W129" s="12">
        <v>30</v>
      </c>
      <c r="X129" s="12">
        <v>30</v>
      </c>
      <c r="Y129" s="12"/>
      <c r="Z129" s="12"/>
      <c r="AA129" s="12"/>
      <c r="AB129" s="12"/>
      <c r="AC129" s="12"/>
      <c r="AD129" s="12"/>
      <c r="AE129" s="12"/>
      <c r="AF129" s="12"/>
      <c r="AG129" s="12"/>
      <c r="AH129" s="15">
        <v>20</v>
      </c>
      <c r="AI129" s="12">
        <v>20</v>
      </c>
      <c r="AJ129" s="12">
        <v>20</v>
      </c>
      <c r="AK129" s="12">
        <v>20</v>
      </c>
      <c r="AL129" s="12">
        <v>20</v>
      </c>
      <c r="AM129" s="12">
        <v>20</v>
      </c>
      <c r="AN129" s="12"/>
      <c r="AO129" s="12"/>
      <c r="AP129" s="12"/>
      <c r="AQ129" s="12"/>
      <c r="AR129" s="12"/>
      <c r="AS129" s="12"/>
      <c r="AT129" s="12"/>
      <c r="AU129" s="12"/>
      <c r="AV129" s="13"/>
      <c r="AW129" s="1">
        <v>2</v>
      </c>
      <c r="AX129" s="1">
        <v>2</v>
      </c>
      <c r="AY129" s="1">
        <v>2</v>
      </c>
      <c r="AZ129" s="1">
        <v>2</v>
      </c>
      <c r="BA129" s="1">
        <v>2</v>
      </c>
      <c r="BB129" s="1">
        <v>2</v>
      </c>
    </row>
    <row r="130" spans="12:61" ht="15.75" customHeight="1" x14ac:dyDescent="0.25">
      <c r="L130" s="1" t="s">
        <v>285</v>
      </c>
      <c r="M130" s="1">
        <v>110</v>
      </c>
      <c r="N130" s="1">
        <v>165000</v>
      </c>
      <c r="O130" s="1">
        <v>1100</v>
      </c>
      <c r="P130" s="4">
        <v>500</v>
      </c>
      <c r="Q130" s="5"/>
      <c r="R130" s="5"/>
      <c r="S130" s="15">
        <v>40</v>
      </c>
      <c r="T130" s="12">
        <v>40</v>
      </c>
      <c r="U130" s="12">
        <v>40</v>
      </c>
      <c r="V130" s="12">
        <v>40</v>
      </c>
      <c r="W130" s="12">
        <v>40</v>
      </c>
      <c r="X130" s="12">
        <v>40</v>
      </c>
      <c r="Y130" s="12">
        <v>40</v>
      </c>
      <c r="Z130" s="12">
        <v>40</v>
      </c>
      <c r="AA130" s="12">
        <v>40</v>
      </c>
      <c r="AB130" s="12">
        <v>40</v>
      </c>
      <c r="AC130" s="12">
        <v>40</v>
      </c>
      <c r="AD130" s="12">
        <v>40</v>
      </c>
      <c r="AE130" s="12"/>
      <c r="AF130" s="12"/>
      <c r="AG130" s="12"/>
      <c r="AH130" s="15">
        <v>26</v>
      </c>
      <c r="AI130" s="12">
        <v>26</v>
      </c>
      <c r="AJ130" s="12">
        <v>26</v>
      </c>
      <c r="AK130" s="12">
        <v>26</v>
      </c>
      <c r="AL130" s="12">
        <v>26</v>
      </c>
      <c r="AM130" s="12">
        <v>26</v>
      </c>
      <c r="AN130" s="12">
        <v>26</v>
      </c>
      <c r="AO130" s="12">
        <v>26</v>
      </c>
      <c r="AP130" s="12">
        <v>26</v>
      </c>
      <c r="AQ130" s="12">
        <v>26</v>
      </c>
      <c r="AR130" s="12">
        <v>26</v>
      </c>
      <c r="AS130" s="12">
        <v>26</v>
      </c>
      <c r="AT130" s="12"/>
      <c r="AU130" s="12"/>
      <c r="AV130" s="13"/>
      <c r="AW130" s="1">
        <v>2</v>
      </c>
      <c r="AX130" s="1">
        <v>2</v>
      </c>
      <c r="AY130" s="1">
        <v>2</v>
      </c>
      <c r="AZ130" s="1">
        <v>2</v>
      </c>
      <c r="BA130" s="1">
        <v>2</v>
      </c>
      <c r="BB130" s="1">
        <v>2</v>
      </c>
      <c r="BC130" s="1">
        <v>2</v>
      </c>
      <c r="BD130" s="1">
        <v>2</v>
      </c>
      <c r="BE130" s="1">
        <v>2</v>
      </c>
      <c r="BF130" s="1">
        <v>2</v>
      </c>
      <c r="BG130" s="1">
        <v>2</v>
      </c>
      <c r="BH130" s="1">
        <v>2</v>
      </c>
    </row>
    <row r="131" spans="12:61" ht="15.75" customHeight="1" x14ac:dyDescent="0.25">
      <c r="L131" s="1" t="s">
        <v>286</v>
      </c>
      <c r="M131" s="1">
        <v>25</v>
      </c>
      <c r="N131" s="1">
        <v>37500</v>
      </c>
      <c r="O131" s="1">
        <v>1000</v>
      </c>
      <c r="P131" s="4">
        <v>430</v>
      </c>
      <c r="Q131" s="16"/>
      <c r="R131" s="16"/>
      <c r="S131" s="15">
        <v>37.5</v>
      </c>
      <c r="T131" s="12">
        <v>37.5</v>
      </c>
      <c r="U131" s="12">
        <v>37.5</v>
      </c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5">
        <v>24</v>
      </c>
      <c r="AI131" s="12">
        <v>24</v>
      </c>
      <c r="AJ131" s="12">
        <v>24</v>
      </c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3"/>
      <c r="AW131" s="1">
        <v>2</v>
      </c>
      <c r="AX131" s="1">
        <v>2</v>
      </c>
      <c r="AY131" s="1">
        <v>2</v>
      </c>
    </row>
    <row r="132" spans="12:61" ht="15.75" customHeight="1" x14ac:dyDescent="0.25">
      <c r="L132" s="1" t="s">
        <v>287</v>
      </c>
      <c r="M132" s="1">
        <v>15</v>
      </c>
      <c r="N132" s="1">
        <v>30000</v>
      </c>
      <c r="O132" s="1">
        <v>1000</v>
      </c>
      <c r="P132" s="10">
        <v>110</v>
      </c>
      <c r="Q132" s="5"/>
      <c r="R132" s="5"/>
      <c r="S132" s="1">
        <v>40</v>
      </c>
      <c r="T132" s="1">
        <v>25</v>
      </c>
      <c r="AC132" s="18"/>
      <c r="AD132" s="18"/>
      <c r="AE132" s="18"/>
      <c r="AF132" s="18"/>
      <c r="AG132" s="18"/>
      <c r="AH132" s="9">
        <v>32</v>
      </c>
      <c r="AI132" s="1">
        <v>20</v>
      </c>
      <c r="AV132" s="10"/>
      <c r="AW132" s="1">
        <v>2</v>
      </c>
      <c r="AX132" s="1">
        <v>1</v>
      </c>
    </row>
    <row r="133" spans="12:61" ht="15.75" customHeight="1" x14ac:dyDescent="0.25">
      <c r="L133" s="1" t="s">
        <v>288</v>
      </c>
      <c r="M133" s="1">
        <v>15</v>
      </c>
      <c r="N133" s="1">
        <v>30000</v>
      </c>
      <c r="O133" s="1">
        <v>1000</v>
      </c>
      <c r="P133" s="4">
        <v>200</v>
      </c>
      <c r="Q133" s="16"/>
      <c r="R133" s="16"/>
      <c r="S133" s="6">
        <v>35</v>
      </c>
      <c r="T133" s="1">
        <v>20</v>
      </c>
      <c r="AC133" s="12"/>
      <c r="AD133" s="12"/>
      <c r="AE133" s="12"/>
      <c r="AF133" s="12"/>
      <c r="AG133" s="12"/>
      <c r="AH133" s="9">
        <v>28</v>
      </c>
      <c r="AI133" s="1">
        <v>16</v>
      </c>
      <c r="AV133" s="10"/>
      <c r="AW133" s="4">
        <v>2</v>
      </c>
      <c r="AX133" s="4">
        <v>1</v>
      </c>
      <c r="AY133" s="4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 spans="12:61" ht="15.75" customHeight="1" x14ac:dyDescent="0.25">
      <c r="L134" s="1" t="s">
        <v>289</v>
      </c>
      <c r="M134" s="1">
        <v>5</v>
      </c>
      <c r="N134" s="1">
        <v>10000</v>
      </c>
      <c r="O134" s="1">
        <v>550</v>
      </c>
      <c r="P134" s="1">
        <v>110</v>
      </c>
      <c r="Q134" s="5"/>
      <c r="R134" s="5"/>
      <c r="S134" s="9">
        <v>20</v>
      </c>
      <c r="T134" s="1">
        <v>20</v>
      </c>
      <c r="AC134" s="12"/>
      <c r="AD134" s="12"/>
      <c r="AE134" s="12"/>
      <c r="AF134" s="12"/>
      <c r="AG134" s="13"/>
      <c r="AH134" s="1">
        <v>16</v>
      </c>
      <c r="AI134" s="1">
        <v>16</v>
      </c>
      <c r="AV134" s="10"/>
      <c r="AW134" s="1">
        <v>1</v>
      </c>
      <c r="AX134" s="1">
        <v>1</v>
      </c>
    </row>
    <row r="135" spans="12:61" ht="15.75" customHeight="1" x14ac:dyDescent="0.25">
      <c r="L135" s="1" t="s">
        <v>290</v>
      </c>
      <c r="M135" s="1">
        <v>7.5</v>
      </c>
      <c r="N135" s="1">
        <v>15000</v>
      </c>
      <c r="O135" s="1">
        <v>600</v>
      </c>
      <c r="P135" s="1">
        <v>90</v>
      </c>
      <c r="Q135" s="16"/>
      <c r="R135" s="16"/>
      <c r="S135" s="9">
        <v>20</v>
      </c>
      <c r="T135" s="1">
        <v>20</v>
      </c>
      <c r="AC135" s="20"/>
      <c r="AD135" s="20"/>
      <c r="AE135" s="20"/>
      <c r="AF135" s="20"/>
      <c r="AG135" s="21"/>
      <c r="AH135" s="1">
        <v>16</v>
      </c>
      <c r="AI135" s="1">
        <v>16</v>
      </c>
      <c r="AV135" s="10"/>
      <c r="AW135" s="1">
        <v>1</v>
      </c>
      <c r="AX135" s="1">
        <v>1</v>
      </c>
    </row>
    <row r="136" spans="12:61" ht="15.75" customHeight="1" x14ac:dyDescent="0.25">
      <c r="L136" s="1" t="s">
        <v>291</v>
      </c>
      <c r="M136" s="1">
        <v>60</v>
      </c>
      <c r="N136" s="1">
        <v>120000</v>
      </c>
      <c r="O136" s="1">
        <v>1000</v>
      </c>
      <c r="P136" s="1">
        <v>200</v>
      </c>
      <c r="Q136" s="5"/>
      <c r="R136" s="5"/>
      <c r="S136" s="9">
        <v>50</v>
      </c>
      <c r="T136" s="1">
        <v>50</v>
      </c>
      <c r="U136" s="1">
        <v>50</v>
      </c>
      <c r="V136" s="1">
        <v>50</v>
      </c>
      <c r="W136" s="1">
        <v>50</v>
      </c>
      <c r="X136" s="1">
        <v>50</v>
      </c>
      <c r="AG136" s="10"/>
      <c r="AH136" s="12">
        <v>40</v>
      </c>
      <c r="AI136" s="12">
        <v>40</v>
      </c>
      <c r="AJ136" s="12">
        <v>40</v>
      </c>
      <c r="AK136" s="12">
        <v>40</v>
      </c>
      <c r="AL136" s="12">
        <v>40</v>
      </c>
      <c r="AM136" s="12">
        <v>40</v>
      </c>
      <c r="AN136" s="12"/>
      <c r="AO136" s="12"/>
      <c r="AP136" s="12"/>
      <c r="AQ136" s="12"/>
      <c r="AR136" s="12"/>
      <c r="AS136" s="12"/>
      <c r="AT136" s="12"/>
      <c r="AU136" s="12"/>
      <c r="AV136" s="13"/>
      <c r="AW136" s="1">
        <v>2</v>
      </c>
      <c r="AX136" s="1">
        <v>2</v>
      </c>
      <c r="AY136" s="1">
        <v>2</v>
      </c>
      <c r="AZ136" s="1">
        <v>2</v>
      </c>
      <c r="BA136" s="1">
        <v>2</v>
      </c>
      <c r="BB136" s="1">
        <v>2</v>
      </c>
    </row>
    <row r="137" spans="12:61" ht="15.75" customHeight="1" x14ac:dyDescent="0.25">
      <c r="L137" s="1" t="s">
        <v>292</v>
      </c>
      <c r="M137" s="1">
        <v>10</v>
      </c>
      <c r="N137" s="1">
        <v>20000</v>
      </c>
      <c r="O137" s="1">
        <v>600</v>
      </c>
      <c r="P137" s="1">
        <v>110</v>
      </c>
      <c r="Q137" s="16">
        <v>215049</v>
      </c>
      <c r="R137" s="16"/>
      <c r="S137" s="6">
        <v>40</v>
      </c>
      <c r="T137" s="1">
        <v>40</v>
      </c>
      <c r="AG137" s="7"/>
      <c r="AH137" s="1">
        <v>32</v>
      </c>
      <c r="AI137" s="1">
        <v>32</v>
      </c>
      <c r="AV137" s="7"/>
      <c r="AW137" s="1">
        <v>2</v>
      </c>
      <c r="AX137" s="1">
        <v>2</v>
      </c>
    </row>
    <row r="138" spans="12:61" ht="15.75" customHeight="1" x14ac:dyDescent="0.25">
      <c r="L138" s="1" t="s">
        <v>293</v>
      </c>
      <c r="M138" s="1">
        <v>12</v>
      </c>
      <c r="N138" s="1">
        <v>24000</v>
      </c>
      <c r="O138" s="1">
        <v>1000</v>
      </c>
      <c r="P138" s="1">
        <v>150</v>
      </c>
      <c r="Q138" s="5">
        <v>215050</v>
      </c>
      <c r="R138" s="5"/>
      <c r="S138" s="6">
        <v>50</v>
      </c>
      <c r="T138" s="1">
        <v>50</v>
      </c>
      <c r="AG138" s="7"/>
      <c r="AH138" s="1">
        <v>36</v>
      </c>
      <c r="AI138" s="1">
        <v>36</v>
      </c>
      <c r="AV138" s="7"/>
      <c r="AW138" s="1">
        <v>2</v>
      </c>
      <c r="AX138" s="1">
        <v>2</v>
      </c>
    </row>
    <row r="139" spans="12:61" ht="15.75" customHeight="1" x14ac:dyDescent="0.25">
      <c r="L139" s="1" t="s">
        <v>294</v>
      </c>
      <c r="M139" s="1">
        <v>15</v>
      </c>
      <c r="N139" s="1">
        <v>30000</v>
      </c>
      <c r="O139" s="1">
        <v>1000</v>
      </c>
      <c r="P139" s="7">
        <v>150</v>
      </c>
      <c r="Q139" s="16">
        <v>215051</v>
      </c>
      <c r="R139" s="16"/>
      <c r="S139" s="1">
        <v>50</v>
      </c>
      <c r="T139" s="1">
        <v>50</v>
      </c>
      <c r="AH139" s="6">
        <v>36</v>
      </c>
      <c r="AI139" s="6">
        <v>36</v>
      </c>
      <c r="AJ139" s="6"/>
      <c r="AK139" s="6"/>
      <c r="AL139" s="6"/>
      <c r="AM139" s="6"/>
      <c r="AN139" s="6"/>
      <c r="AO139" s="6"/>
      <c r="AV139" s="7"/>
      <c r="AW139" s="1">
        <v>2</v>
      </c>
      <c r="AX139" s="1">
        <v>2</v>
      </c>
    </row>
    <row r="140" spans="12:61" ht="15.75" customHeight="1" x14ac:dyDescent="0.25">
      <c r="L140" s="1" t="s">
        <v>295</v>
      </c>
      <c r="M140" s="1">
        <v>20</v>
      </c>
      <c r="N140" s="1">
        <v>40000</v>
      </c>
      <c r="O140" s="1">
        <v>1000</v>
      </c>
      <c r="P140" s="7">
        <v>150</v>
      </c>
      <c r="Q140" s="5">
        <v>215052</v>
      </c>
      <c r="R140" s="5"/>
      <c r="S140" s="1">
        <v>50</v>
      </c>
      <c r="T140" s="1">
        <v>50</v>
      </c>
      <c r="AH140" s="6">
        <v>36</v>
      </c>
      <c r="AI140" s="1">
        <v>36</v>
      </c>
      <c r="AV140" s="7"/>
      <c r="AW140" s="1">
        <v>2</v>
      </c>
      <c r="AX140" s="1">
        <v>2</v>
      </c>
    </row>
    <row r="141" spans="12:61" ht="15.75" customHeight="1" x14ac:dyDescent="0.25">
      <c r="L141" s="1" t="s">
        <v>296</v>
      </c>
      <c r="M141" s="1">
        <v>6</v>
      </c>
      <c r="N141" s="1">
        <v>12000</v>
      </c>
      <c r="O141" s="1">
        <v>550</v>
      </c>
      <c r="P141" s="7">
        <v>110</v>
      </c>
      <c r="Q141" s="16">
        <v>123552</v>
      </c>
      <c r="R141" s="16"/>
      <c r="S141" s="1">
        <v>20</v>
      </c>
      <c r="T141" s="1">
        <v>20</v>
      </c>
      <c r="AH141" s="6">
        <v>16</v>
      </c>
      <c r="AI141" s="1">
        <v>16</v>
      </c>
      <c r="AV141" s="7"/>
      <c r="AW141" s="1">
        <v>1</v>
      </c>
      <c r="AX141" s="1">
        <v>1</v>
      </c>
    </row>
    <row r="142" spans="12:61" ht="15.75" customHeight="1" x14ac:dyDescent="0.25">
      <c r="L142" s="1" t="s">
        <v>297</v>
      </c>
      <c r="M142" s="1">
        <v>110</v>
      </c>
      <c r="N142" s="1">
        <v>165000</v>
      </c>
      <c r="O142" s="1">
        <v>1100</v>
      </c>
      <c r="P142" s="10">
        <v>195</v>
      </c>
      <c r="Q142" s="5">
        <v>7490</v>
      </c>
      <c r="R142" s="5"/>
      <c r="S142" s="12">
        <v>40</v>
      </c>
      <c r="T142" s="12">
        <v>40</v>
      </c>
      <c r="U142" s="12">
        <v>40</v>
      </c>
      <c r="V142" s="12">
        <v>40</v>
      </c>
      <c r="W142" s="12">
        <v>40</v>
      </c>
      <c r="X142" s="12">
        <v>40</v>
      </c>
      <c r="Y142" s="12">
        <v>40</v>
      </c>
      <c r="Z142" s="12">
        <v>40</v>
      </c>
      <c r="AA142" s="12">
        <v>40</v>
      </c>
      <c r="AB142" s="12">
        <v>40</v>
      </c>
      <c r="AC142" s="12"/>
      <c r="AD142" s="12"/>
      <c r="AE142" s="12"/>
      <c r="AF142" s="12"/>
      <c r="AG142" s="12"/>
      <c r="AH142" s="15">
        <v>26</v>
      </c>
      <c r="AI142" s="12">
        <v>26</v>
      </c>
      <c r="AJ142" s="12">
        <v>26</v>
      </c>
      <c r="AK142" s="12">
        <v>26</v>
      </c>
      <c r="AL142" s="12">
        <v>26</v>
      </c>
      <c r="AM142" s="12">
        <v>26</v>
      </c>
      <c r="AN142" s="12">
        <v>26</v>
      </c>
      <c r="AO142" s="12">
        <v>26</v>
      </c>
      <c r="AP142" s="12">
        <v>26</v>
      </c>
      <c r="AQ142" s="12">
        <v>26</v>
      </c>
      <c r="AR142" s="12"/>
      <c r="AS142" s="12"/>
      <c r="AT142" s="12"/>
      <c r="AU142" s="12"/>
      <c r="AV142" s="13"/>
      <c r="AW142" s="1">
        <v>2</v>
      </c>
      <c r="AX142" s="1">
        <v>2</v>
      </c>
      <c r="AY142" s="1">
        <v>2</v>
      </c>
      <c r="AZ142" s="1">
        <v>2</v>
      </c>
      <c r="BA142" s="1">
        <v>2</v>
      </c>
      <c r="BB142" s="1">
        <v>2</v>
      </c>
      <c r="BC142" s="1">
        <v>2</v>
      </c>
      <c r="BD142" s="1">
        <v>2</v>
      </c>
      <c r="BE142" s="1">
        <v>2</v>
      </c>
      <c r="BF142" s="1">
        <v>2</v>
      </c>
    </row>
    <row r="143" spans="12:61" ht="15.75" customHeight="1" x14ac:dyDescent="0.25">
      <c r="L143" s="1" t="s">
        <v>298</v>
      </c>
      <c r="M143" s="1">
        <v>110</v>
      </c>
      <c r="N143" s="1">
        <v>165000</v>
      </c>
      <c r="O143" s="1">
        <v>1100</v>
      </c>
      <c r="P143" s="10">
        <v>180</v>
      </c>
      <c r="Q143" s="16"/>
      <c r="R143" s="16"/>
      <c r="S143" s="12">
        <v>50</v>
      </c>
      <c r="T143" s="12">
        <v>50</v>
      </c>
      <c r="U143" s="12">
        <v>50</v>
      </c>
      <c r="V143" s="12">
        <v>50</v>
      </c>
      <c r="W143" s="12">
        <v>50</v>
      </c>
      <c r="X143" s="12">
        <v>50</v>
      </c>
      <c r="Y143" s="12">
        <v>50</v>
      </c>
      <c r="Z143" s="12">
        <v>50</v>
      </c>
      <c r="AA143" s="12"/>
      <c r="AB143" s="12"/>
      <c r="AC143" s="12"/>
      <c r="AD143" s="12"/>
      <c r="AE143" s="12"/>
      <c r="AF143" s="12"/>
      <c r="AG143" s="12"/>
      <c r="AH143" s="15">
        <v>36</v>
      </c>
      <c r="AI143" s="12">
        <v>32</v>
      </c>
      <c r="AJ143" s="12">
        <v>36</v>
      </c>
      <c r="AK143" s="12">
        <v>32</v>
      </c>
      <c r="AL143" s="12">
        <v>36</v>
      </c>
      <c r="AM143" s="12">
        <v>32</v>
      </c>
      <c r="AN143" s="12">
        <v>36</v>
      </c>
      <c r="AO143" s="12">
        <v>32</v>
      </c>
      <c r="AP143" s="12"/>
      <c r="AQ143" s="12"/>
      <c r="AR143" s="12"/>
      <c r="AS143" s="12"/>
      <c r="AT143" s="12"/>
      <c r="AU143" s="12"/>
      <c r="AV143" s="13"/>
      <c r="AW143" s="1">
        <v>2</v>
      </c>
      <c r="AX143" s="1">
        <v>2</v>
      </c>
      <c r="AY143" s="1">
        <v>2</v>
      </c>
      <c r="AZ143" s="1">
        <v>2</v>
      </c>
      <c r="BA143" s="1">
        <v>2</v>
      </c>
      <c r="BB143" s="1">
        <v>2</v>
      </c>
      <c r="BC143" s="1">
        <v>2</v>
      </c>
      <c r="BD143" s="1">
        <v>2</v>
      </c>
    </row>
    <row r="144" spans="12:61" ht="15.75" customHeight="1" x14ac:dyDescent="0.25">
      <c r="L144" s="1" t="s">
        <v>299</v>
      </c>
      <c r="M144" s="1">
        <v>125</v>
      </c>
      <c r="N144" s="1">
        <v>187500</v>
      </c>
      <c r="O144" s="1">
        <v>1500</v>
      </c>
      <c r="P144" s="7">
        <v>950</v>
      </c>
      <c r="Q144" s="5">
        <v>206226</v>
      </c>
      <c r="R144" s="29" t="s">
        <v>62</v>
      </c>
      <c r="S144" s="1">
        <v>300</v>
      </c>
      <c r="AH144" s="6">
        <v>150</v>
      </c>
      <c r="AI144" s="6"/>
      <c r="AJ144" s="6"/>
      <c r="AK144" s="6"/>
      <c r="AL144" s="6"/>
      <c r="AM144" s="6"/>
      <c r="AN144" s="6"/>
      <c r="AO144" s="6"/>
      <c r="AV144" s="7"/>
      <c r="AW144" s="1">
        <v>20</v>
      </c>
    </row>
    <row r="145" spans="12:57" ht="15.75" customHeight="1" x14ac:dyDescent="0.25">
      <c r="L145" s="1" t="s">
        <v>300</v>
      </c>
      <c r="M145" s="1">
        <v>15</v>
      </c>
      <c r="N145" s="1">
        <v>22500</v>
      </c>
      <c r="O145" s="1">
        <v>1000</v>
      </c>
      <c r="P145" s="7">
        <v>180</v>
      </c>
      <c r="Q145" s="16"/>
      <c r="R145" s="16"/>
      <c r="S145" s="12">
        <v>34.299999999999997</v>
      </c>
      <c r="T145" s="12">
        <v>34.299999999999997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5">
        <v>22</v>
      </c>
      <c r="AI145" s="12">
        <v>22</v>
      </c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3"/>
      <c r="AW145" s="1">
        <v>2</v>
      </c>
      <c r="AX145" s="1">
        <v>2</v>
      </c>
    </row>
    <row r="146" spans="12:57" ht="15.75" customHeight="1" x14ac:dyDescent="0.25">
      <c r="L146" s="1" t="s">
        <v>301</v>
      </c>
      <c r="M146" s="1">
        <v>7.7</v>
      </c>
      <c r="N146" s="1">
        <f>$M146*2*1000</f>
        <v>15400</v>
      </c>
      <c r="O146" s="1">
        <v>600</v>
      </c>
      <c r="P146" s="7">
        <v>120</v>
      </c>
      <c r="Q146" s="5"/>
      <c r="R146" s="5"/>
      <c r="S146" s="12">
        <v>19.5</v>
      </c>
      <c r="T146" s="12">
        <v>30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5">
        <v>12.5</v>
      </c>
      <c r="AI146" s="12">
        <v>25</v>
      </c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3"/>
      <c r="AW146" s="1">
        <v>1</v>
      </c>
      <c r="AX146" s="1">
        <v>2</v>
      </c>
    </row>
    <row r="147" spans="12:57" ht="15.75" customHeight="1" x14ac:dyDescent="0.25">
      <c r="L147" s="1" t="s">
        <v>302</v>
      </c>
      <c r="M147" s="1">
        <v>7</v>
      </c>
      <c r="N147" s="1">
        <v>14000</v>
      </c>
      <c r="O147" s="1">
        <v>600</v>
      </c>
      <c r="P147" s="7">
        <v>120</v>
      </c>
      <c r="Q147" s="16">
        <v>218759</v>
      </c>
      <c r="R147" s="16"/>
      <c r="S147" s="1">
        <v>19.5</v>
      </c>
      <c r="T147" s="1">
        <v>30</v>
      </c>
      <c r="AH147" s="6">
        <v>12.5</v>
      </c>
      <c r="AI147" s="1">
        <v>25</v>
      </c>
      <c r="AV147" s="7"/>
      <c r="AW147" s="1">
        <v>1</v>
      </c>
      <c r="AX147" s="1">
        <v>2</v>
      </c>
    </row>
    <row r="148" spans="12:57" ht="15.75" customHeight="1" x14ac:dyDescent="0.25">
      <c r="L148" s="1" t="s">
        <v>303</v>
      </c>
      <c r="M148" s="1">
        <v>25</v>
      </c>
      <c r="N148" s="1">
        <v>37500</v>
      </c>
      <c r="O148" s="1">
        <v>1100</v>
      </c>
      <c r="P148" s="7">
        <v>200</v>
      </c>
      <c r="Q148" s="5"/>
      <c r="R148" s="5"/>
      <c r="S148" s="12">
        <v>40</v>
      </c>
      <c r="T148" s="12">
        <v>40</v>
      </c>
      <c r="U148" s="12">
        <v>40</v>
      </c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5">
        <v>26</v>
      </c>
      <c r="AI148" s="12">
        <v>26</v>
      </c>
      <c r="AJ148" s="12">
        <v>26</v>
      </c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3"/>
      <c r="AW148" s="1">
        <v>2</v>
      </c>
      <c r="AX148" s="1">
        <v>2</v>
      </c>
      <c r="AY148" s="1">
        <v>2</v>
      </c>
    </row>
    <row r="149" spans="12:57" ht="15.75" customHeight="1" x14ac:dyDescent="0.25">
      <c r="L149" s="1" t="s">
        <v>304</v>
      </c>
      <c r="M149" s="1">
        <v>30</v>
      </c>
      <c r="N149" s="1">
        <v>45000</v>
      </c>
      <c r="O149" s="1">
        <v>1100</v>
      </c>
      <c r="P149" s="7">
        <v>200</v>
      </c>
      <c r="Q149" s="16"/>
      <c r="R149" s="16"/>
      <c r="S149" s="12">
        <v>40</v>
      </c>
      <c r="T149" s="12">
        <v>40</v>
      </c>
      <c r="U149" s="12">
        <v>40</v>
      </c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5">
        <v>26</v>
      </c>
      <c r="AI149" s="12">
        <v>26</v>
      </c>
      <c r="AJ149" s="12">
        <v>26</v>
      </c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3"/>
      <c r="AW149" s="1">
        <v>2</v>
      </c>
      <c r="AX149" s="1">
        <v>2</v>
      </c>
      <c r="AY149" s="1">
        <v>2</v>
      </c>
    </row>
    <row r="150" spans="12:57" ht="15.75" customHeight="1" x14ac:dyDescent="0.25">
      <c r="L150" s="1" t="s">
        <v>305</v>
      </c>
      <c r="M150" s="1">
        <v>50</v>
      </c>
      <c r="N150" s="1">
        <v>75000</v>
      </c>
      <c r="O150" s="1">
        <v>1100</v>
      </c>
      <c r="P150" s="7">
        <v>200</v>
      </c>
      <c r="Q150" s="5"/>
      <c r="R150" s="5"/>
      <c r="S150" s="12">
        <v>44.5</v>
      </c>
      <c r="T150" s="12">
        <v>44.5</v>
      </c>
      <c r="U150" s="12">
        <v>44.5</v>
      </c>
      <c r="V150" s="12">
        <v>44.5</v>
      </c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5">
        <v>28.5</v>
      </c>
      <c r="AI150" s="12">
        <v>28.5</v>
      </c>
      <c r="AJ150" s="12">
        <v>28.5</v>
      </c>
      <c r="AK150" s="12">
        <v>28.5</v>
      </c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3"/>
      <c r="AW150" s="1">
        <v>3</v>
      </c>
      <c r="AX150" s="1">
        <v>3</v>
      </c>
      <c r="AY150" s="1">
        <v>3</v>
      </c>
      <c r="AZ150" s="1">
        <v>3</v>
      </c>
    </row>
    <row r="151" spans="12:57" ht="15.75" customHeight="1" x14ac:dyDescent="0.25">
      <c r="L151" s="1" t="s">
        <v>306</v>
      </c>
      <c r="M151" s="1">
        <v>60</v>
      </c>
      <c r="N151" s="1">
        <v>90000</v>
      </c>
      <c r="O151" s="1">
        <v>1100</v>
      </c>
      <c r="P151" s="7">
        <v>200</v>
      </c>
      <c r="Q151" s="16"/>
      <c r="R151" s="16"/>
      <c r="S151" s="12">
        <v>44.5</v>
      </c>
      <c r="T151" s="12">
        <v>44.5</v>
      </c>
      <c r="U151" s="12">
        <v>44.5</v>
      </c>
      <c r="V151" s="12">
        <v>44.5</v>
      </c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5">
        <v>28.5</v>
      </c>
      <c r="AI151" s="12">
        <v>28.5</v>
      </c>
      <c r="AJ151" s="12">
        <v>28.5</v>
      </c>
      <c r="AK151" s="12">
        <v>28.5</v>
      </c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3"/>
      <c r="AW151" s="1">
        <v>3</v>
      </c>
      <c r="AX151" s="1">
        <v>3</v>
      </c>
      <c r="AY151" s="1">
        <v>3</v>
      </c>
      <c r="AZ151" s="1">
        <v>3</v>
      </c>
    </row>
    <row r="152" spans="12:57" ht="15.75" customHeight="1" x14ac:dyDescent="0.25">
      <c r="L152" s="1" t="s">
        <v>307</v>
      </c>
      <c r="M152" s="1">
        <v>75</v>
      </c>
      <c r="N152" s="1">
        <v>126000</v>
      </c>
      <c r="O152" s="1">
        <v>1100</v>
      </c>
      <c r="P152" s="7">
        <v>195</v>
      </c>
      <c r="Q152" s="5"/>
      <c r="R152" s="5"/>
      <c r="S152" s="12">
        <v>40</v>
      </c>
      <c r="T152" s="12">
        <v>40</v>
      </c>
      <c r="U152" s="12">
        <v>40</v>
      </c>
      <c r="V152" s="12">
        <v>40</v>
      </c>
      <c r="W152" s="12">
        <v>40</v>
      </c>
      <c r="X152" s="12">
        <v>40</v>
      </c>
      <c r="Y152" s="12">
        <v>40</v>
      </c>
      <c r="Z152" s="12">
        <v>40</v>
      </c>
      <c r="AA152" s="12">
        <v>40</v>
      </c>
      <c r="AB152" s="12"/>
      <c r="AC152" s="12"/>
      <c r="AD152" s="12"/>
      <c r="AE152" s="12"/>
      <c r="AF152" s="12"/>
      <c r="AG152" s="12"/>
      <c r="AH152" s="15">
        <v>26</v>
      </c>
      <c r="AI152" s="12">
        <v>26</v>
      </c>
      <c r="AJ152" s="12">
        <v>26</v>
      </c>
      <c r="AK152" s="12">
        <v>26</v>
      </c>
      <c r="AL152" s="12">
        <v>26</v>
      </c>
      <c r="AM152" s="12">
        <v>26</v>
      </c>
      <c r="AN152" s="12">
        <v>26</v>
      </c>
      <c r="AO152" s="12">
        <v>26</v>
      </c>
      <c r="AP152" s="12">
        <v>26</v>
      </c>
      <c r="AQ152" s="12"/>
      <c r="AR152" s="12"/>
      <c r="AS152" s="12"/>
      <c r="AT152" s="12"/>
      <c r="AU152" s="12"/>
      <c r="AV152" s="13"/>
      <c r="AW152" s="1">
        <v>2</v>
      </c>
      <c r="AX152" s="1">
        <v>2</v>
      </c>
      <c r="AY152" s="1">
        <v>2</v>
      </c>
      <c r="AZ152" s="1">
        <v>2</v>
      </c>
      <c r="BA152" s="1">
        <v>2</v>
      </c>
      <c r="BB152" s="1">
        <v>2</v>
      </c>
      <c r="BC152" s="1">
        <v>2</v>
      </c>
      <c r="BD152" s="1">
        <v>2</v>
      </c>
      <c r="BE152" s="1">
        <v>2</v>
      </c>
    </row>
    <row r="153" spans="12:57" ht="15.75" customHeight="1" x14ac:dyDescent="0.25">
      <c r="L153" s="1" t="s">
        <v>308</v>
      </c>
      <c r="M153" s="1">
        <v>75</v>
      </c>
      <c r="N153" s="1">
        <v>150000</v>
      </c>
      <c r="O153" s="1">
        <v>1100</v>
      </c>
      <c r="P153" s="7">
        <v>180</v>
      </c>
      <c r="Q153" s="16">
        <v>88619</v>
      </c>
      <c r="R153" s="16"/>
      <c r="S153" s="12">
        <v>50</v>
      </c>
      <c r="T153" s="12">
        <v>50</v>
      </c>
      <c r="U153" s="12">
        <v>50</v>
      </c>
      <c r="V153" s="12">
        <v>50</v>
      </c>
      <c r="W153" s="12">
        <v>50</v>
      </c>
      <c r="X153" s="12">
        <v>50</v>
      </c>
      <c r="Y153" s="12"/>
      <c r="Z153" s="12"/>
      <c r="AA153" s="12"/>
      <c r="AB153" s="12"/>
      <c r="AC153" s="12"/>
      <c r="AD153" s="12"/>
      <c r="AE153" s="12"/>
      <c r="AF153" s="12"/>
      <c r="AG153" s="12"/>
      <c r="AH153" s="15">
        <v>40</v>
      </c>
      <c r="AI153" s="12">
        <v>32</v>
      </c>
      <c r="AJ153" s="12">
        <v>40</v>
      </c>
      <c r="AK153" s="12">
        <v>32</v>
      </c>
      <c r="AL153" s="12">
        <v>40</v>
      </c>
      <c r="AM153" s="12">
        <v>32</v>
      </c>
      <c r="AN153" s="12"/>
      <c r="AO153" s="12"/>
      <c r="AP153" s="12"/>
      <c r="AQ153" s="12"/>
      <c r="AR153" s="12"/>
      <c r="AS153" s="12"/>
      <c r="AT153" s="12"/>
      <c r="AU153" s="12"/>
      <c r="AV153" s="13"/>
      <c r="AW153" s="1">
        <v>2</v>
      </c>
      <c r="AX153" s="1">
        <v>2</v>
      </c>
      <c r="AY153" s="1">
        <v>2</v>
      </c>
      <c r="AZ153" s="1">
        <v>2</v>
      </c>
      <c r="BA153" s="1">
        <v>2</v>
      </c>
      <c r="BB153" s="1">
        <v>2</v>
      </c>
    </row>
    <row r="154" spans="12:57" ht="15.75" customHeight="1" x14ac:dyDescent="0.25">
      <c r="L154" s="1" t="s">
        <v>309</v>
      </c>
      <c r="M154" s="1">
        <v>75</v>
      </c>
      <c r="N154" s="1">
        <f>$M154*1.5*1000</f>
        <v>112500</v>
      </c>
      <c r="O154" s="1">
        <v>1100</v>
      </c>
      <c r="P154" s="7">
        <v>180</v>
      </c>
      <c r="Q154" s="5"/>
      <c r="R154" s="5"/>
      <c r="S154" s="12">
        <v>50</v>
      </c>
      <c r="T154" s="12">
        <v>50</v>
      </c>
      <c r="U154" s="12">
        <v>50</v>
      </c>
      <c r="V154" s="12">
        <v>50</v>
      </c>
      <c r="W154" s="12">
        <v>50</v>
      </c>
      <c r="X154" s="12">
        <v>50</v>
      </c>
      <c r="Y154" s="12"/>
      <c r="Z154" s="12"/>
      <c r="AA154" s="12"/>
      <c r="AB154" s="12"/>
      <c r="AC154" s="12"/>
      <c r="AD154" s="12"/>
      <c r="AE154" s="12"/>
      <c r="AF154" s="12"/>
      <c r="AG154" s="12"/>
      <c r="AH154" s="15">
        <v>40</v>
      </c>
      <c r="AI154" s="12">
        <v>32</v>
      </c>
      <c r="AJ154" s="12">
        <v>40</v>
      </c>
      <c r="AK154" s="12">
        <v>32</v>
      </c>
      <c r="AL154" s="12">
        <v>40</v>
      </c>
      <c r="AM154" s="12">
        <v>32</v>
      </c>
      <c r="AN154" s="12"/>
      <c r="AO154" s="12"/>
      <c r="AP154" s="12"/>
      <c r="AQ154" s="12"/>
      <c r="AR154" s="12"/>
      <c r="AS154" s="12"/>
      <c r="AT154" s="12"/>
      <c r="AU154" s="12"/>
      <c r="AV154" s="13"/>
      <c r="AW154" s="1">
        <v>2</v>
      </c>
      <c r="AX154" s="1">
        <v>2</v>
      </c>
      <c r="AY154" s="1">
        <v>2</v>
      </c>
      <c r="AZ154" s="1">
        <v>2</v>
      </c>
      <c r="BA154" s="1">
        <v>2</v>
      </c>
      <c r="BB154" s="1">
        <v>2</v>
      </c>
    </row>
    <row r="155" spans="12:57" ht="15.75" customHeight="1" x14ac:dyDescent="0.25">
      <c r="L155" s="1" t="s">
        <v>310</v>
      </c>
      <c r="M155" s="1">
        <v>8</v>
      </c>
      <c r="N155" s="1">
        <v>12000</v>
      </c>
      <c r="O155" s="1">
        <v>600</v>
      </c>
      <c r="P155" s="7">
        <v>120</v>
      </c>
      <c r="Q155" s="16"/>
      <c r="R155" s="16"/>
      <c r="S155" s="12">
        <v>15.6</v>
      </c>
      <c r="T155" s="12">
        <v>15.6</v>
      </c>
      <c r="U155" s="12">
        <v>15.6</v>
      </c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5">
        <v>10</v>
      </c>
      <c r="AI155" s="12">
        <v>10</v>
      </c>
      <c r="AJ155" s="12">
        <v>10</v>
      </c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3"/>
      <c r="AW155" s="1">
        <v>1</v>
      </c>
      <c r="AX155" s="1">
        <v>1</v>
      </c>
      <c r="AY155" s="1">
        <v>1</v>
      </c>
    </row>
    <row r="156" spans="12:57" ht="15.75" customHeight="1" x14ac:dyDescent="0.25">
      <c r="L156" s="1" t="s">
        <v>311</v>
      </c>
      <c r="M156" s="1">
        <v>37.5</v>
      </c>
      <c r="N156" s="1">
        <f>$M156*2*1000</f>
        <v>75000</v>
      </c>
      <c r="O156" s="1">
        <v>1100</v>
      </c>
      <c r="P156" s="7">
        <v>200</v>
      </c>
      <c r="Q156" s="5">
        <v>75607</v>
      </c>
      <c r="R156" s="5"/>
      <c r="S156" s="12">
        <v>40</v>
      </c>
      <c r="T156" s="12">
        <v>40</v>
      </c>
      <c r="U156" s="12">
        <v>40</v>
      </c>
      <c r="V156" s="12">
        <v>40</v>
      </c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5">
        <v>32</v>
      </c>
      <c r="AI156" s="12">
        <v>32</v>
      </c>
      <c r="AJ156" s="12">
        <v>32</v>
      </c>
      <c r="AK156" s="12">
        <v>32</v>
      </c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3"/>
      <c r="AW156" s="1">
        <v>2</v>
      </c>
      <c r="AX156" s="1">
        <v>2</v>
      </c>
      <c r="AY156" s="1">
        <v>2</v>
      </c>
      <c r="AZ156" s="1">
        <v>2</v>
      </c>
    </row>
    <row r="157" spans="12:57" ht="15.75" customHeight="1" x14ac:dyDescent="0.25">
      <c r="L157" s="1" t="s">
        <v>312</v>
      </c>
      <c r="M157" s="1">
        <v>37.5</v>
      </c>
      <c r="N157" s="1">
        <f>$M157*1.5*1000</f>
        <v>56250</v>
      </c>
      <c r="O157" s="1">
        <v>1100</v>
      </c>
      <c r="P157" s="7">
        <v>200</v>
      </c>
      <c r="Q157" s="16"/>
      <c r="R157" s="16"/>
      <c r="S157" s="12">
        <v>40</v>
      </c>
      <c r="T157" s="12">
        <v>40</v>
      </c>
      <c r="U157" s="12">
        <v>40</v>
      </c>
      <c r="V157" s="12">
        <v>40</v>
      </c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5">
        <v>32</v>
      </c>
      <c r="AI157" s="12">
        <v>32</v>
      </c>
      <c r="AJ157" s="12">
        <v>32</v>
      </c>
      <c r="AK157" s="12">
        <v>32</v>
      </c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3"/>
      <c r="AW157" s="1">
        <v>2</v>
      </c>
      <c r="AX157" s="1">
        <v>2</v>
      </c>
      <c r="AY157" s="1">
        <v>2</v>
      </c>
      <c r="AZ157" s="1">
        <v>2</v>
      </c>
    </row>
    <row r="158" spans="12:57" ht="15.75" customHeight="1" x14ac:dyDescent="0.25">
      <c r="L158" s="1" t="s">
        <v>313</v>
      </c>
      <c r="M158" s="1">
        <v>60</v>
      </c>
      <c r="N158" s="1">
        <f>Table_2[[#This Row],[Pnom]]*2*1000</f>
        <v>120000</v>
      </c>
      <c r="O158" s="1">
        <v>1100</v>
      </c>
      <c r="P158" s="7">
        <v>195</v>
      </c>
      <c r="Q158" s="5">
        <v>83337</v>
      </c>
      <c r="R158" s="5"/>
      <c r="S158" s="12">
        <v>40</v>
      </c>
      <c r="T158" s="12">
        <v>40</v>
      </c>
      <c r="U158" s="12">
        <v>40</v>
      </c>
      <c r="V158" s="12">
        <v>40</v>
      </c>
      <c r="W158" s="12">
        <v>40</v>
      </c>
      <c r="X158" s="12">
        <v>40</v>
      </c>
      <c r="Y158" s="12"/>
      <c r="Z158" s="12"/>
      <c r="AA158" s="12"/>
      <c r="AB158" s="12"/>
      <c r="AC158" s="12"/>
      <c r="AD158" s="12"/>
      <c r="AE158" s="12"/>
      <c r="AF158" s="12"/>
      <c r="AG158" s="12"/>
      <c r="AH158" s="15">
        <v>32</v>
      </c>
      <c r="AI158" s="12">
        <v>32</v>
      </c>
      <c r="AJ158" s="12">
        <v>32</v>
      </c>
      <c r="AK158" s="12">
        <v>32</v>
      </c>
      <c r="AL158" s="12">
        <v>32</v>
      </c>
      <c r="AM158" s="12">
        <v>32</v>
      </c>
      <c r="AN158" s="12"/>
      <c r="AO158" s="12"/>
      <c r="AP158" s="12"/>
      <c r="AQ158" s="12"/>
      <c r="AR158" s="12"/>
      <c r="AS158" s="12"/>
      <c r="AT158" s="12"/>
      <c r="AU158" s="12"/>
      <c r="AV158" s="13"/>
      <c r="AW158" s="1">
        <v>2</v>
      </c>
      <c r="AX158" s="1">
        <v>2</v>
      </c>
      <c r="AY158" s="1">
        <v>2</v>
      </c>
      <c r="AZ158" s="1">
        <v>2</v>
      </c>
      <c r="BA158" s="1">
        <v>2</v>
      </c>
      <c r="BB158" s="1">
        <v>2</v>
      </c>
    </row>
    <row r="159" spans="12:57" ht="15.75" customHeight="1" x14ac:dyDescent="0.25">
      <c r="L159" s="1" t="s">
        <v>314</v>
      </c>
      <c r="M159" s="1">
        <v>60</v>
      </c>
      <c r="N159" s="1">
        <f>Table_2[[#This Row],[Pnom]]*1.5*1000</f>
        <v>90000</v>
      </c>
      <c r="O159" s="1">
        <v>1100</v>
      </c>
      <c r="P159" s="7">
        <v>195</v>
      </c>
      <c r="Q159" s="16"/>
      <c r="R159" s="16"/>
      <c r="S159" s="12">
        <v>40</v>
      </c>
      <c r="T159" s="12">
        <v>40</v>
      </c>
      <c r="U159" s="12">
        <v>40</v>
      </c>
      <c r="V159" s="12">
        <v>40</v>
      </c>
      <c r="W159" s="12">
        <v>40</v>
      </c>
      <c r="X159" s="12">
        <v>40</v>
      </c>
      <c r="Y159" s="12"/>
      <c r="Z159" s="12"/>
      <c r="AA159" s="12"/>
      <c r="AB159" s="12"/>
      <c r="AC159" s="12"/>
      <c r="AD159" s="12"/>
      <c r="AE159" s="12"/>
      <c r="AF159" s="12"/>
      <c r="AG159" s="12"/>
      <c r="AH159" s="15">
        <v>32</v>
      </c>
      <c r="AI159" s="12">
        <v>32</v>
      </c>
      <c r="AJ159" s="12">
        <v>32</v>
      </c>
      <c r="AK159" s="12">
        <v>32</v>
      </c>
      <c r="AL159" s="12">
        <v>32</v>
      </c>
      <c r="AM159" s="12">
        <v>32</v>
      </c>
      <c r="AN159" s="12"/>
      <c r="AO159" s="12"/>
      <c r="AP159" s="12"/>
      <c r="AQ159" s="12"/>
      <c r="AR159" s="12"/>
      <c r="AS159" s="12"/>
      <c r="AT159" s="12"/>
      <c r="AU159" s="12"/>
      <c r="AV159" s="13"/>
      <c r="AW159" s="1">
        <v>2</v>
      </c>
      <c r="AX159" s="1">
        <v>2</v>
      </c>
      <c r="AY159" s="1">
        <v>2</v>
      </c>
      <c r="AZ159" s="1">
        <v>2</v>
      </c>
      <c r="BA159" s="1">
        <v>2</v>
      </c>
      <c r="BB159" s="1">
        <v>2</v>
      </c>
    </row>
    <row r="160" spans="12:57" ht="15.75" customHeight="1" x14ac:dyDescent="0.25">
      <c r="L160" s="1" t="s">
        <v>315</v>
      </c>
      <c r="M160" s="1">
        <v>25</v>
      </c>
      <c r="N160" s="1">
        <v>42500</v>
      </c>
      <c r="O160" s="1">
        <v>1100</v>
      </c>
      <c r="P160" s="7">
        <v>180</v>
      </c>
      <c r="Q160" s="5"/>
      <c r="R160" s="5"/>
      <c r="S160" s="1">
        <v>40</v>
      </c>
      <c r="T160" s="1">
        <v>40</v>
      </c>
      <c r="U160" s="1">
        <v>40</v>
      </c>
      <c r="AH160" s="6">
        <v>32</v>
      </c>
      <c r="AI160" s="1">
        <v>32</v>
      </c>
      <c r="AJ160" s="1">
        <v>32</v>
      </c>
      <c r="AV160" s="7"/>
      <c r="AW160" s="1">
        <v>2</v>
      </c>
      <c r="AX160" s="1">
        <v>2</v>
      </c>
      <c r="AY160" s="1">
        <v>2</v>
      </c>
    </row>
    <row r="161" spans="12:58" ht="15.75" customHeight="1" x14ac:dyDescent="0.25">
      <c r="L161" s="1" t="s">
        <v>316</v>
      </c>
      <c r="M161" s="1">
        <v>30</v>
      </c>
      <c r="N161" s="1">
        <v>51000</v>
      </c>
      <c r="O161" s="1">
        <v>1100</v>
      </c>
      <c r="P161" s="7">
        <v>195</v>
      </c>
      <c r="Q161" s="16">
        <v>206225</v>
      </c>
      <c r="R161" s="30" t="s">
        <v>62</v>
      </c>
      <c r="S161" s="1">
        <v>40</v>
      </c>
      <c r="T161" s="1">
        <v>40</v>
      </c>
      <c r="U161" s="1">
        <v>40</v>
      </c>
      <c r="V161" s="1">
        <v>40</v>
      </c>
      <c r="AH161" s="6">
        <v>32</v>
      </c>
      <c r="AI161" s="1">
        <v>32</v>
      </c>
      <c r="AJ161" s="1">
        <v>32</v>
      </c>
      <c r="AK161" s="1">
        <v>32</v>
      </c>
      <c r="AV161" s="7"/>
      <c r="AW161" s="1">
        <v>2</v>
      </c>
      <c r="AX161" s="1">
        <v>2</v>
      </c>
      <c r="AY161" s="1">
        <v>2</v>
      </c>
      <c r="AZ161" s="1">
        <v>2</v>
      </c>
    </row>
    <row r="162" spans="12:58" ht="15.75" customHeight="1" x14ac:dyDescent="0.25">
      <c r="L162" s="1" t="s">
        <v>317</v>
      </c>
      <c r="M162" s="1">
        <v>50</v>
      </c>
      <c r="N162" s="1">
        <v>85000</v>
      </c>
      <c r="O162" s="1">
        <v>1100</v>
      </c>
      <c r="P162" s="7">
        <v>195</v>
      </c>
      <c r="Q162" s="5"/>
      <c r="R162" s="5"/>
      <c r="S162" s="1">
        <v>40</v>
      </c>
      <c r="T162" s="1">
        <v>40</v>
      </c>
      <c r="U162" s="1">
        <v>40</v>
      </c>
      <c r="V162" s="1">
        <v>40</v>
      </c>
      <c r="W162" s="1">
        <v>40</v>
      </c>
      <c r="AH162" s="6">
        <v>32</v>
      </c>
      <c r="AI162" s="1">
        <v>32</v>
      </c>
      <c r="AJ162" s="1">
        <v>32</v>
      </c>
      <c r="AK162" s="1">
        <v>32</v>
      </c>
      <c r="AL162" s="1">
        <v>32</v>
      </c>
      <c r="AV162" s="7"/>
      <c r="AW162" s="1">
        <v>2</v>
      </c>
      <c r="AX162" s="1">
        <v>2</v>
      </c>
      <c r="AY162" s="1">
        <v>2</v>
      </c>
      <c r="AZ162" s="1">
        <v>2</v>
      </c>
      <c r="BA162" s="1">
        <v>2</v>
      </c>
    </row>
    <row r="163" spans="12:58" ht="15.75" customHeight="1" x14ac:dyDescent="0.25">
      <c r="L163" s="1" t="s">
        <v>318</v>
      </c>
      <c r="M163" s="1">
        <v>20</v>
      </c>
      <c r="N163" s="1">
        <v>34000</v>
      </c>
      <c r="O163" s="1">
        <v>1100</v>
      </c>
      <c r="P163" s="7">
        <v>180</v>
      </c>
      <c r="Q163" s="16"/>
      <c r="R163" s="16"/>
      <c r="S163" s="1">
        <v>40</v>
      </c>
      <c r="T163" s="1">
        <v>40</v>
      </c>
      <c r="AH163" s="6">
        <v>32</v>
      </c>
      <c r="AI163" s="1">
        <v>32</v>
      </c>
      <c r="AV163" s="7"/>
      <c r="AW163" s="1">
        <v>2</v>
      </c>
      <c r="AX163" s="1">
        <v>2</v>
      </c>
    </row>
    <row r="164" spans="12:58" ht="15.75" customHeight="1" x14ac:dyDescent="0.25">
      <c r="L164" s="1" t="s">
        <v>319</v>
      </c>
      <c r="M164" s="1">
        <v>100</v>
      </c>
      <c r="N164" s="1">
        <v>170000</v>
      </c>
      <c r="O164" s="1">
        <v>1100</v>
      </c>
      <c r="P164" s="7">
        <v>180</v>
      </c>
      <c r="Q164" s="5">
        <v>184846</v>
      </c>
      <c r="R164" s="5"/>
      <c r="S164" s="1">
        <v>50</v>
      </c>
      <c r="T164" s="1">
        <v>50</v>
      </c>
      <c r="U164" s="1">
        <v>50</v>
      </c>
      <c r="V164" s="1">
        <v>50</v>
      </c>
      <c r="W164" s="1">
        <v>50</v>
      </c>
      <c r="X164" s="1">
        <v>50</v>
      </c>
      <c r="Y164" s="1">
        <v>50</v>
      </c>
      <c r="Z164" s="1">
        <v>50</v>
      </c>
      <c r="AA164" s="1">
        <v>50</v>
      </c>
      <c r="AB164" s="1">
        <v>50</v>
      </c>
      <c r="AH164" s="6">
        <v>42</v>
      </c>
      <c r="AI164" s="1">
        <v>36</v>
      </c>
      <c r="AJ164" s="1">
        <v>42</v>
      </c>
      <c r="AK164" s="1">
        <v>36</v>
      </c>
      <c r="AL164" s="1">
        <v>42</v>
      </c>
      <c r="AM164" s="1">
        <v>36</v>
      </c>
      <c r="AN164" s="1">
        <v>42</v>
      </c>
      <c r="AO164" s="1">
        <v>36</v>
      </c>
      <c r="AP164" s="1">
        <v>42</v>
      </c>
      <c r="AQ164" s="1">
        <v>36</v>
      </c>
      <c r="AV164" s="7"/>
      <c r="AW164" s="1">
        <v>2</v>
      </c>
      <c r="AX164" s="1">
        <v>2</v>
      </c>
      <c r="AY164" s="1">
        <v>2</v>
      </c>
      <c r="AZ164" s="1">
        <v>2</v>
      </c>
      <c r="BA164" s="1">
        <v>2</v>
      </c>
      <c r="BB164" s="1">
        <v>2</v>
      </c>
      <c r="BC164" s="1">
        <v>2</v>
      </c>
      <c r="BD164" s="1">
        <v>2</v>
      </c>
      <c r="BE164" s="1">
        <v>2</v>
      </c>
      <c r="BF164" s="1">
        <v>2</v>
      </c>
    </row>
    <row r="165" spans="12:58" ht="15.75" customHeight="1" x14ac:dyDescent="0.25">
      <c r="L165" s="1" t="s">
        <v>320</v>
      </c>
      <c r="M165" s="1">
        <v>75</v>
      </c>
      <c r="N165" s="1">
        <v>128000</v>
      </c>
      <c r="O165" s="1">
        <v>1100</v>
      </c>
      <c r="P165" s="7">
        <v>180</v>
      </c>
      <c r="Q165" s="16">
        <v>153075</v>
      </c>
      <c r="R165" s="30" t="s">
        <v>62</v>
      </c>
      <c r="S165" s="4">
        <v>50</v>
      </c>
      <c r="T165" s="1">
        <v>50</v>
      </c>
      <c r="U165" s="1">
        <v>50</v>
      </c>
      <c r="V165" s="1">
        <v>50</v>
      </c>
      <c r="W165" s="1">
        <v>50</v>
      </c>
      <c r="X165" s="1">
        <v>50</v>
      </c>
      <c r="Y165" s="1">
        <v>50</v>
      </c>
      <c r="Z165" s="1">
        <v>50</v>
      </c>
      <c r="AH165" s="9">
        <v>42</v>
      </c>
      <c r="AI165" s="1">
        <v>36</v>
      </c>
      <c r="AJ165" s="1">
        <v>42</v>
      </c>
      <c r="AK165" s="1">
        <v>36</v>
      </c>
      <c r="AL165" s="1">
        <v>42</v>
      </c>
      <c r="AM165" s="1">
        <v>36</v>
      </c>
      <c r="AN165" s="1">
        <v>42</v>
      </c>
      <c r="AO165" s="1">
        <v>36</v>
      </c>
      <c r="AV165" s="10"/>
      <c r="AW165" s="1">
        <v>2</v>
      </c>
      <c r="AX165" s="1">
        <v>2</v>
      </c>
      <c r="AY165" s="1">
        <v>2</v>
      </c>
      <c r="AZ165" s="1">
        <v>2</v>
      </c>
      <c r="BA165" s="1">
        <v>2</v>
      </c>
      <c r="BB165" s="1">
        <v>2</v>
      </c>
      <c r="BC165" s="1">
        <v>2</v>
      </c>
      <c r="BD165" s="1">
        <v>2</v>
      </c>
    </row>
    <row r="166" spans="12:58" ht="15.75" customHeight="1" x14ac:dyDescent="0.25">
      <c r="L166" s="1" t="s">
        <v>321</v>
      </c>
      <c r="M166" s="1">
        <v>5</v>
      </c>
      <c r="N166" s="1">
        <v>8500</v>
      </c>
      <c r="O166" s="1">
        <v>600</v>
      </c>
      <c r="P166" s="10">
        <v>120</v>
      </c>
      <c r="Q166" s="5"/>
      <c r="R166" s="5"/>
      <c r="S166" s="12">
        <v>22</v>
      </c>
      <c r="T166" s="12">
        <v>22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5">
        <v>14</v>
      </c>
      <c r="AI166" s="12">
        <v>14</v>
      </c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3"/>
      <c r="AW166" s="1">
        <v>1</v>
      </c>
      <c r="AX166" s="1">
        <v>1</v>
      </c>
    </row>
    <row r="167" spans="12:58" ht="15.75" customHeight="1" x14ac:dyDescent="0.25">
      <c r="L167" s="1" t="s">
        <v>322</v>
      </c>
      <c r="M167" s="1">
        <v>5</v>
      </c>
      <c r="N167" s="1">
        <v>8500</v>
      </c>
      <c r="O167" s="1">
        <v>550</v>
      </c>
      <c r="P167" s="7">
        <v>100</v>
      </c>
      <c r="Q167" s="16">
        <v>105322</v>
      </c>
      <c r="R167" s="16"/>
      <c r="S167" s="4">
        <v>22</v>
      </c>
      <c r="T167" s="1">
        <v>22</v>
      </c>
      <c r="AH167" s="9">
        <v>16</v>
      </c>
      <c r="AI167" s="1">
        <v>16</v>
      </c>
      <c r="AV167" s="10"/>
      <c r="AW167" s="1">
        <v>1</v>
      </c>
      <c r="AX167" s="1">
        <v>1</v>
      </c>
    </row>
    <row r="168" spans="12:58" ht="15.75" customHeight="1" x14ac:dyDescent="0.25">
      <c r="L168" s="1" t="s">
        <v>323</v>
      </c>
      <c r="M168" s="1">
        <v>5</v>
      </c>
      <c r="N168" s="1">
        <v>7500</v>
      </c>
      <c r="O168" s="1">
        <v>600</v>
      </c>
      <c r="P168" s="7">
        <v>120</v>
      </c>
      <c r="Q168" s="5"/>
      <c r="R168" s="5"/>
      <c r="S168" s="12">
        <v>17.2</v>
      </c>
      <c r="T168" s="12">
        <v>17.2</v>
      </c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5">
        <v>11</v>
      </c>
      <c r="AI168" s="12">
        <v>11</v>
      </c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3"/>
      <c r="AW168" s="1">
        <v>1</v>
      </c>
      <c r="AX168" s="1">
        <v>1</v>
      </c>
    </row>
    <row r="169" spans="12:58" ht="15.75" customHeight="1" x14ac:dyDescent="0.25">
      <c r="L169" s="1" t="s">
        <v>324</v>
      </c>
      <c r="M169" s="1">
        <v>60</v>
      </c>
      <c r="N169" s="1">
        <v>112000</v>
      </c>
      <c r="O169" s="1">
        <v>800</v>
      </c>
      <c r="P169" s="7">
        <v>180</v>
      </c>
      <c r="Q169" s="16"/>
      <c r="R169" s="16"/>
      <c r="S169" s="4">
        <v>50</v>
      </c>
      <c r="T169" s="1">
        <v>50</v>
      </c>
      <c r="U169" s="1">
        <v>50</v>
      </c>
      <c r="V169" s="1">
        <v>50</v>
      </c>
      <c r="W169" s="1">
        <v>50</v>
      </c>
      <c r="X169" s="1">
        <v>50</v>
      </c>
      <c r="Y169" s="1">
        <v>50</v>
      </c>
      <c r="Z169" s="1">
        <v>50</v>
      </c>
      <c r="AG169" s="4"/>
      <c r="AH169" s="15">
        <v>40</v>
      </c>
      <c r="AI169" s="12">
        <v>40</v>
      </c>
      <c r="AJ169" s="12">
        <v>40</v>
      </c>
      <c r="AK169" s="12">
        <v>40</v>
      </c>
      <c r="AL169" s="12">
        <v>20</v>
      </c>
      <c r="AM169" s="12">
        <v>20</v>
      </c>
      <c r="AN169" s="12">
        <v>20</v>
      </c>
      <c r="AO169" s="12">
        <v>20</v>
      </c>
      <c r="AP169" s="12"/>
      <c r="AQ169" s="12"/>
      <c r="AR169" s="12"/>
      <c r="AS169" s="12"/>
      <c r="AT169" s="12"/>
      <c r="AU169" s="12"/>
      <c r="AV169" s="13"/>
      <c r="AW169" s="1">
        <v>2</v>
      </c>
      <c r="AX169" s="1">
        <v>2</v>
      </c>
      <c r="AY169" s="1">
        <v>2</v>
      </c>
      <c r="AZ169" s="1">
        <v>2</v>
      </c>
      <c r="BA169" s="1">
        <v>1</v>
      </c>
      <c r="BB169" s="1">
        <v>1</v>
      </c>
      <c r="BC169" s="1">
        <v>1</v>
      </c>
      <c r="BD169" s="1">
        <v>1</v>
      </c>
    </row>
    <row r="170" spans="12:58" ht="15.75" customHeight="1" x14ac:dyDescent="0.25">
      <c r="L170" s="1" t="s">
        <v>325</v>
      </c>
      <c r="M170" s="1">
        <v>60</v>
      </c>
      <c r="N170" s="1">
        <v>112000</v>
      </c>
      <c r="O170" s="1">
        <v>800</v>
      </c>
      <c r="P170" s="7">
        <v>180</v>
      </c>
      <c r="Q170" s="5"/>
      <c r="R170" s="5"/>
      <c r="S170" s="4">
        <v>50</v>
      </c>
      <c r="T170" s="1">
        <v>50</v>
      </c>
      <c r="U170" s="1">
        <v>50</v>
      </c>
      <c r="V170" s="1">
        <v>50</v>
      </c>
      <c r="W170" s="1">
        <v>50</v>
      </c>
      <c r="X170" s="1">
        <v>50</v>
      </c>
      <c r="Y170" s="1">
        <v>50</v>
      </c>
      <c r="Z170" s="1">
        <v>50</v>
      </c>
      <c r="AG170" s="4"/>
      <c r="AH170" s="6">
        <v>40</v>
      </c>
      <c r="AI170" s="1">
        <v>40</v>
      </c>
      <c r="AJ170" s="1">
        <v>40</v>
      </c>
      <c r="AK170" s="1">
        <v>40</v>
      </c>
      <c r="AL170" s="1">
        <v>20</v>
      </c>
      <c r="AM170" s="1">
        <v>20</v>
      </c>
      <c r="AN170" s="1">
        <v>20</v>
      </c>
      <c r="AO170" s="1">
        <v>20</v>
      </c>
      <c r="AV170" s="10"/>
      <c r="AW170" s="1">
        <v>2</v>
      </c>
      <c r="AX170" s="1">
        <v>2</v>
      </c>
      <c r="AY170" s="1">
        <v>2</v>
      </c>
      <c r="AZ170" s="1">
        <v>2</v>
      </c>
      <c r="BA170" s="1">
        <v>2</v>
      </c>
      <c r="BB170" s="1">
        <v>2</v>
      </c>
      <c r="BC170" s="1">
        <v>2</v>
      </c>
      <c r="BD170" s="1">
        <v>2</v>
      </c>
    </row>
    <row r="171" spans="12:58" ht="15.75" customHeight="1" x14ac:dyDescent="0.25">
      <c r="L171" s="1" t="s">
        <v>326</v>
      </c>
      <c r="M171" s="1">
        <v>75</v>
      </c>
      <c r="N171" s="1">
        <v>150000</v>
      </c>
      <c r="O171" s="1">
        <v>800</v>
      </c>
      <c r="P171" s="7">
        <v>180</v>
      </c>
      <c r="Q171" s="16"/>
      <c r="R171" s="16"/>
      <c r="S171" s="12">
        <v>50</v>
      </c>
      <c r="T171" s="12">
        <v>50</v>
      </c>
      <c r="U171" s="12">
        <v>50</v>
      </c>
      <c r="V171" s="12">
        <v>50</v>
      </c>
      <c r="W171" s="12">
        <v>50</v>
      </c>
      <c r="X171" s="12">
        <v>50</v>
      </c>
      <c r="Y171" s="12">
        <v>50</v>
      </c>
      <c r="Z171" s="12">
        <v>50</v>
      </c>
      <c r="AA171" s="12"/>
      <c r="AB171" s="12"/>
      <c r="AC171" s="12"/>
      <c r="AD171" s="12"/>
      <c r="AE171" s="12"/>
      <c r="AF171" s="12"/>
      <c r="AG171" s="12"/>
      <c r="AH171" s="15">
        <v>40</v>
      </c>
      <c r="AI171" s="12">
        <v>40</v>
      </c>
      <c r="AJ171" s="12">
        <v>40</v>
      </c>
      <c r="AK171" s="12">
        <v>40</v>
      </c>
      <c r="AL171" s="12">
        <v>20</v>
      </c>
      <c r="AM171" s="12">
        <v>20</v>
      </c>
      <c r="AN171" s="12">
        <v>20</v>
      </c>
      <c r="AO171" s="12">
        <v>20</v>
      </c>
      <c r="AP171" s="12"/>
      <c r="AQ171" s="12"/>
      <c r="AR171" s="12"/>
      <c r="AS171" s="12"/>
      <c r="AT171" s="12"/>
      <c r="AU171" s="12"/>
      <c r="AV171" s="13"/>
      <c r="AW171" s="1">
        <v>2</v>
      </c>
      <c r="AX171" s="1">
        <v>2</v>
      </c>
      <c r="AY171" s="1">
        <v>2</v>
      </c>
      <c r="AZ171" s="1">
        <v>2</v>
      </c>
      <c r="BA171" s="1">
        <v>1</v>
      </c>
      <c r="BB171" s="1">
        <v>1</v>
      </c>
      <c r="BC171" s="1">
        <v>1</v>
      </c>
      <c r="BD171" s="1">
        <v>1</v>
      </c>
    </row>
    <row r="172" spans="12:58" ht="15.75" customHeight="1" x14ac:dyDescent="0.25">
      <c r="L172" s="1" t="s">
        <v>327</v>
      </c>
      <c r="M172" s="1">
        <v>75</v>
      </c>
      <c r="N172" s="1">
        <v>150000</v>
      </c>
      <c r="O172" s="1">
        <v>800</v>
      </c>
      <c r="P172" s="7">
        <v>180</v>
      </c>
      <c r="Q172" s="5"/>
      <c r="R172" s="5"/>
      <c r="S172" s="4">
        <v>50</v>
      </c>
      <c r="T172" s="1">
        <v>50</v>
      </c>
      <c r="U172" s="1">
        <v>50</v>
      </c>
      <c r="V172" s="1">
        <v>50</v>
      </c>
      <c r="W172" s="1">
        <v>50</v>
      </c>
      <c r="X172" s="1">
        <v>50</v>
      </c>
      <c r="Y172" s="1">
        <v>50</v>
      </c>
      <c r="Z172" s="1">
        <v>50</v>
      </c>
      <c r="AG172" s="4"/>
      <c r="AH172" s="6">
        <v>40</v>
      </c>
      <c r="AI172" s="1">
        <v>40</v>
      </c>
      <c r="AJ172" s="1">
        <v>40</v>
      </c>
      <c r="AK172" s="1">
        <v>40</v>
      </c>
      <c r="AL172" s="1">
        <v>20</v>
      </c>
      <c r="AM172" s="1">
        <v>20</v>
      </c>
      <c r="AN172" s="1">
        <v>20</v>
      </c>
      <c r="AO172" s="1">
        <v>20</v>
      </c>
      <c r="AV172" s="10"/>
      <c r="AW172" s="1">
        <v>2</v>
      </c>
      <c r="AX172" s="1">
        <v>2</v>
      </c>
      <c r="AY172" s="1">
        <v>2</v>
      </c>
      <c r="AZ172" s="1">
        <v>2</v>
      </c>
      <c r="BA172" s="1">
        <v>2</v>
      </c>
      <c r="BB172" s="1">
        <v>2</v>
      </c>
      <c r="BC172" s="1">
        <v>2</v>
      </c>
      <c r="BD172" s="1">
        <v>2</v>
      </c>
    </row>
    <row r="173" spans="12:58" ht="15.75" customHeight="1" x14ac:dyDescent="0.25">
      <c r="L173" s="1" t="s">
        <v>328</v>
      </c>
      <c r="M173" s="1">
        <v>50</v>
      </c>
      <c r="N173" s="1">
        <f>Table_2[[#This Row],[Pnom]]*1000*1.6</f>
        <v>80000</v>
      </c>
      <c r="O173" s="1">
        <v>800</v>
      </c>
      <c r="P173" s="10">
        <v>200</v>
      </c>
      <c r="Q173" s="16">
        <v>154005</v>
      </c>
      <c r="R173" s="16" t="s">
        <v>62</v>
      </c>
      <c r="S173" s="1">
        <v>48</v>
      </c>
      <c r="T173" s="1">
        <v>48</v>
      </c>
      <c r="U173" s="1">
        <v>48</v>
      </c>
      <c r="V173" s="1">
        <v>48</v>
      </c>
      <c r="W173" s="1">
        <v>48</v>
      </c>
      <c r="X173" s="1">
        <v>48</v>
      </c>
      <c r="AH173" s="9">
        <v>32</v>
      </c>
      <c r="AI173" s="4">
        <v>32</v>
      </c>
      <c r="AJ173" s="4">
        <v>32</v>
      </c>
      <c r="AK173" s="4">
        <v>32</v>
      </c>
      <c r="AL173" s="4">
        <v>32</v>
      </c>
      <c r="AM173" s="4">
        <v>32</v>
      </c>
      <c r="AN173" s="4"/>
      <c r="AO173" s="4"/>
      <c r="AV173" s="10"/>
      <c r="AW173" s="1">
        <v>2</v>
      </c>
      <c r="AX173" s="1">
        <v>2</v>
      </c>
      <c r="AY173" s="1">
        <v>2</v>
      </c>
      <c r="AZ173" s="1">
        <v>2</v>
      </c>
      <c r="BA173" s="1">
        <v>2</v>
      </c>
      <c r="BB173" s="1">
        <v>2</v>
      </c>
    </row>
    <row r="174" spans="12:58" ht="15.75" customHeight="1" x14ac:dyDescent="0.25">
      <c r="L174" s="1" t="s">
        <v>329</v>
      </c>
      <c r="M174" s="1">
        <v>10</v>
      </c>
      <c r="N174" s="1">
        <f>Table_2[[#This Row],[Pnom]]*1.6*1000</f>
        <v>16000</v>
      </c>
      <c r="O174" s="1">
        <v>600</v>
      </c>
      <c r="P174" s="10">
        <v>100</v>
      </c>
      <c r="Q174" s="5">
        <v>152041</v>
      </c>
      <c r="R174" s="5" t="s">
        <v>62</v>
      </c>
      <c r="S174" s="1">
        <v>28</v>
      </c>
      <c r="T174" s="1">
        <v>22.5</v>
      </c>
      <c r="U174" s="1">
        <v>28</v>
      </c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5">
        <v>20</v>
      </c>
      <c r="AI174" s="12">
        <v>16</v>
      </c>
      <c r="AJ174" s="12">
        <v>20</v>
      </c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3"/>
      <c r="AW174" s="1">
        <v>1</v>
      </c>
      <c r="AX174" s="1">
        <v>1</v>
      </c>
      <c r="AY174" s="1">
        <v>1</v>
      </c>
    </row>
    <row r="175" spans="12:58" ht="15.75" customHeight="1" x14ac:dyDescent="0.25">
      <c r="L175" s="1" t="s">
        <v>330</v>
      </c>
      <c r="M175" s="1">
        <v>12</v>
      </c>
      <c r="N175" s="1">
        <f>Table_2[[#This Row],[Pnom]]*1.6*1000</f>
        <v>19200.000000000004</v>
      </c>
      <c r="O175" s="1">
        <v>950</v>
      </c>
      <c r="P175" s="10">
        <v>180</v>
      </c>
      <c r="Q175" s="16">
        <v>152042</v>
      </c>
      <c r="R175" s="16" t="s">
        <v>62</v>
      </c>
      <c r="S175" s="1">
        <v>48</v>
      </c>
      <c r="T175" s="1">
        <v>30</v>
      </c>
      <c r="AH175" s="9">
        <v>32</v>
      </c>
      <c r="AI175" s="1">
        <v>20</v>
      </c>
      <c r="AV175" s="10"/>
      <c r="AW175" s="1">
        <v>2</v>
      </c>
      <c r="AX175" s="1">
        <v>1</v>
      </c>
    </row>
    <row r="176" spans="12:58" ht="15.75" customHeight="1" x14ac:dyDescent="0.25">
      <c r="L176" s="1" t="s">
        <v>331</v>
      </c>
      <c r="M176" s="1">
        <v>15</v>
      </c>
      <c r="N176" s="1">
        <f>Table_2[[#This Row],[Pnom]]*1.6*1000</f>
        <v>24000</v>
      </c>
      <c r="O176" s="1">
        <v>950</v>
      </c>
      <c r="P176" s="10">
        <v>180</v>
      </c>
      <c r="Q176" s="5"/>
      <c r="R176" s="5"/>
      <c r="S176" s="12">
        <v>48</v>
      </c>
      <c r="T176" s="12">
        <v>30</v>
      </c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5">
        <v>32</v>
      </c>
      <c r="AI176" s="12">
        <v>20</v>
      </c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3"/>
      <c r="AW176" s="1">
        <v>2</v>
      </c>
      <c r="AX176" s="1">
        <v>1</v>
      </c>
    </row>
    <row r="177" spans="12:53" ht="15.75" customHeight="1" x14ac:dyDescent="0.25">
      <c r="L177" s="1" t="s">
        <v>332</v>
      </c>
      <c r="M177" s="1">
        <v>15</v>
      </c>
      <c r="N177" s="1">
        <f>Table_2[[#This Row],[Pnom]]*1.6*1000</f>
        <v>24000</v>
      </c>
      <c r="O177" s="1">
        <v>800</v>
      </c>
      <c r="P177" s="10">
        <v>180</v>
      </c>
      <c r="Q177" s="16">
        <v>152048</v>
      </c>
      <c r="R177" s="16"/>
      <c r="S177" s="12">
        <v>60</v>
      </c>
      <c r="T177" s="12">
        <v>48</v>
      </c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5">
        <v>40</v>
      </c>
      <c r="AI177" s="12">
        <v>32</v>
      </c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3"/>
      <c r="AW177" s="1">
        <v>2</v>
      </c>
      <c r="AX177" s="1">
        <v>2</v>
      </c>
    </row>
    <row r="178" spans="12:53" ht="15.75" customHeight="1" x14ac:dyDescent="0.25">
      <c r="L178" s="1" t="s">
        <v>333</v>
      </c>
      <c r="M178" s="1">
        <v>17</v>
      </c>
      <c r="N178" s="1">
        <v>27200</v>
      </c>
      <c r="O178" s="1">
        <v>950</v>
      </c>
      <c r="P178" s="10">
        <v>180</v>
      </c>
      <c r="Q178" s="5">
        <v>152043</v>
      </c>
      <c r="R178" s="5" t="s">
        <v>62</v>
      </c>
      <c r="S178" s="1">
        <v>48</v>
      </c>
      <c r="T178" s="1">
        <v>48</v>
      </c>
      <c r="AH178" s="15">
        <v>32</v>
      </c>
      <c r="AI178" s="12">
        <v>32</v>
      </c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3"/>
      <c r="AW178" s="1">
        <v>2</v>
      </c>
      <c r="AX178" s="1">
        <v>2</v>
      </c>
    </row>
    <row r="179" spans="12:53" ht="15.75" customHeight="1" x14ac:dyDescent="0.25">
      <c r="L179" s="1" t="s">
        <v>334</v>
      </c>
      <c r="M179" s="1">
        <v>17</v>
      </c>
      <c r="N179" s="1">
        <f>Table_2[[#This Row],[Pnom]]*1.6*1000</f>
        <v>27200.000000000004</v>
      </c>
      <c r="O179" s="1">
        <v>950</v>
      </c>
      <c r="P179" s="4">
        <v>150</v>
      </c>
      <c r="Q179" s="16"/>
      <c r="R179" s="16"/>
      <c r="S179" s="6">
        <v>48</v>
      </c>
      <c r="T179" s="1">
        <v>48</v>
      </c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1"/>
      <c r="AH179" s="12">
        <v>32</v>
      </c>
      <c r="AI179" s="12">
        <v>32</v>
      </c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1"/>
      <c r="AW179" s="1">
        <v>2</v>
      </c>
      <c r="AX179" s="1">
        <v>2</v>
      </c>
    </row>
    <row r="180" spans="12:53" ht="15.75" customHeight="1" x14ac:dyDescent="0.25">
      <c r="L180" s="1" t="s">
        <v>335</v>
      </c>
      <c r="M180" s="1">
        <v>20</v>
      </c>
      <c r="N180" s="1">
        <f>Table_2[[#This Row],[Pnom]]*1.6*1000</f>
        <v>32000</v>
      </c>
      <c r="O180" s="1">
        <v>950</v>
      </c>
      <c r="P180" s="4">
        <v>180</v>
      </c>
      <c r="Q180" s="5">
        <v>152045</v>
      </c>
      <c r="R180" s="5" t="s">
        <v>62</v>
      </c>
      <c r="S180" s="15">
        <v>48</v>
      </c>
      <c r="T180" s="12">
        <v>48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3"/>
      <c r="AH180" s="12">
        <v>32</v>
      </c>
      <c r="AI180" s="12">
        <v>32</v>
      </c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3"/>
      <c r="AW180" s="1">
        <v>2</v>
      </c>
      <c r="AX180" s="1">
        <v>2</v>
      </c>
    </row>
    <row r="181" spans="12:53" ht="15.75" customHeight="1" x14ac:dyDescent="0.25">
      <c r="L181" s="1" t="s">
        <v>336</v>
      </c>
      <c r="M181" s="1">
        <v>20</v>
      </c>
      <c r="N181" s="1">
        <f>Table_2[[#This Row],[Pnom]]*1.6*1000</f>
        <v>32000</v>
      </c>
      <c r="O181" s="1">
        <v>800</v>
      </c>
      <c r="P181" s="4">
        <v>200</v>
      </c>
      <c r="Q181" s="16">
        <v>152049</v>
      </c>
      <c r="R181" s="16" t="s">
        <v>62</v>
      </c>
      <c r="S181" s="6">
        <v>48</v>
      </c>
      <c r="T181" s="1">
        <v>48</v>
      </c>
      <c r="U181" s="1">
        <v>48</v>
      </c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3"/>
      <c r="AH181" s="12">
        <v>32</v>
      </c>
      <c r="AI181" s="12">
        <v>32</v>
      </c>
      <c r="AJ181" s="12">
        <v>32</v>
      </c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3"/>
      <c r="AW181" s="1">
        <v>2</v>
      </c>
      <c r="AX181" s="1">
        <v>2</v>
      </c>
      <c r="AY181" s="1">
        <v>2</v>
      </c>
    </row>
    <row r="182" spans="12:53" ht="15.75" customHeight="1" x14ac:dyDescent="0.25">
      <c r="L182" s="1" t="s">
        <v>337</v>
      </c>
      <c r="M182" s="1">
        <v>250</v>
      </c>
      <c r="N182" s="1">
        <v>400000</v>
      </c>
      <c r="O182" s="1">
        <v>1500</v>
      </c>
      <c r="P182" s="4">
        <v>550</v>
      </c>
      <c r="Q182" s="5">
        <v>175388</v>
      </c>
      <c r="R182" s="29" t="s">
        <v>62</v>
      </c>
      <c r="S182" s="6">
        <v>113</v>
      </c>
      <c r="T182" s="1">
        <v>113</v>
      </c>
      <c r="U182" s="1">
        <v>113</v>
      </c>
      <c r="V182" s="1">
        <v>113</v>
      </c>
      <c r="W182" s="1">
        <v>113</v>
      </c>
      <c r="AG182" s="7"/>
      <c r="AH182" s="4">
        <v>75</v>
      </c>
      <c r="AI182" s="1">
        <v>75</v>
      </c>
      <c r="AJ182" s="1">
        <v>75</v>
      </c>
      <c r="AK182" s="1">
        <v>75</v>
      </c>
      <c r="AL182" s="1">
        <v>75</v>
      </c>
      <c r="AV182" s="10"/>
      <c r="AW182" s="1">
        <v>5</v>
      </c>
      <c r="AX182" s="1">
        <v>5</v>
      </c>
      <c r="AY182" s="1">
        <v>5</v>
      </c>
      <c r="AZ182" s="1">
        <v>5</v>
      </c>
      <c r="BA182" s="1">
        <v>5</v>
      </c>
    </row>
    <row r="183" spans="12:53" ht="15.75" customHeight="1" x14ac:dyDescent="0.25">
      <c r="L183" s="1" t="s">
        <v>338</v>
      </c>
      <c r="M183" s="1">
        <v>25</v>
      </c>
      <c r="N183" s="1">
        <f>Table_2[[#This Row],[Pnom]]*1.6*1000</f>
        <v>40000</v>
      </c>
      <c r="O183" s="1">
        <v>950</v>
      </c>
      <c r="P183" s="4">
        <v>180</v>
      </c>
      <c r="Q183" s="16"/>
      <c r="R183" s="16"/>
      <c r="S183" s="15">
        <v>60</v>
      </c>
      <c r="T183" s="12">
        <v>48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>
        <v>40</v>
      </c>
      <c r="AI183" s="12">
        <v>32</v>
      </c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">
        <v>2</v>
      </c>
      <c r="AX183" s="1">
        <v>2</v>
      </c>
    </row>
    <row r="184" spans="12:53" ht="15.75" customHeight="1" x14ac:dyDescent="0.25">
      <c r="L184" s="1" t="s">
        <v>339</v>
      </c>
      <c r="M184" s="1">
        <v>25</v>
      </c>
      <c r="N184" s="1">
        <f>Table_2[[#This Row],[Pnom]]*1.6*1000</f>
        <v>40000</v>
      </c>
      <c r="O184" s="1">
        <v>800</v>
      </c>
      <c r="P184" s="4">
        <v>200</v>
      </c>
      <c r="Q184" s="5">
        <v>153995</v>
      </c>
      <c r="R184" s="29" t="s">
        <v>62</v>
      </c>
      <c r="S184" s="15">
        <v>48</v>
      </c>
      <c r="T184" s="12">
        <v>48</v>
      </c>
      <c r="U184" s="12">
        <v>48</v>
      </c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v>32</v>
      </c>
      <c r="AI184" s="12">
        <v>32</v>
      </c>
      <c r="AJ184" s="12">
        <v>32</v>
      </c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">
        <v>2</v>
      </c>
      <c r="AX184" s="1">
        <v>2</v>
      </c>
      <c r="AY184" s="1">
        <v>2</v>
      </c>
    </row>
    <row r="185" spans="12:53" ht="15.75" customHeight="1" x14ac:dyDescent="0.25">
      <c r="L185" s="1" t="s">
        <v>340</v>
      </c>
      <c r="M185" s="1">
        <v>30</v>
      </c>
      <c r="N185" s="1">
        <f>Table_2[[#This Row],[Pnom]]*1.6*1000</f>
        <v>48000</v>
      </c>
      <c r="O185" s="1">
        <v>950</v>
      </c>
      <c r="P185" s="4">
        <v>200</v>
      </c>
      <c r="Q185" s="16">
        <v>143407</v>
      </c>
      <c r="R185" s="16" t="s">
        <v>62</v>
      </c>
      <c r="S185" s="15">
        <v>48</v>
      </c>
      <c r="T185" s="12">
        <v>48</v>
      </c>
      <c r="U185" s="12">
        <v>48</v>
      </c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v>32</v>
      </c>
      <c r="AI185" s="12">
        <v>32</v>
      </c>
      <c r="AJ185" s="12">
        <v>32</v>
      </c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">
        <v>2</v>
      </c>
      <c r="AX185" s="1">
        <v>2</v>
      </c>
      <c r="AY185" s="1">
        <v>2</v>
      </c>
    </row>
    <row r="186" spans="12:53" ht="15.75" customHeight="1" x14ac:dyDescent="0.25">
      <c r="L186" s="1" t="s">
        <v>341</v>
      </c>
      <c r="M186" s="1">
        <v>30</v>
      </c>
      <c r="N186" s="1">
        <f>Table_2[[#This Row],[Pnom]]*1.6*1000</f>
        <v>48000</v>
      </c>
      <c r="O186" s="1">
        <v>800</v>
      </c>
      <c r="P186" s="4">
        <v>250</v>
      </c>
      <c r="Q186" s="5">
        <v>160673</v>
      </c>
      <c r="R186" s="29" t="s">
        <v>62</v>
      </c>
      <c r="S186" s="15">
        <v>60</v>
      </c>
      <c r="T186" s="12">
        <v>48</v>
      </c>
      <c r="U186" s="12">
        <v>48</v>
      </c>
      <c r="V186" s="12">
        <v>60</v>
      </c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v>40</v>
      </c>
      <c r="AI186" s="12">
        <v>32</v>
      </c>
      <c r="AJ186" s="12">
        <v>32</v>
      </c>
      <c r="AK186" s="12">
        <v>40</v>
      </c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">
        <v>2</v>
      </c>
      <c r="AX186" s="1">
        <v>2</v>
      </c>
      <c r="AY186" s="1">
        <v>2</v>
      </c>
      <c r="AZ186" s="1">
        <v>2</v>
      </c>
    </row>
    <row r="187" spans="12:53" ht="15.75" customHeight="1" x14ac:dyDescent="0.25">
      <c r="L187" s="1" t="s">
        <v>342</v>
      </c>
      <c r="M187" s="1">
        <v>33</v>
      </c>
      <c r="N187" s="1">
        <f>1000*1.6*Table_2[[#This Row],[Pnom]]</f>
        <v>52800</v>
      </c>
      <c r="O187" s="1">
        <v>950</v>
      </c>
      <c r="P187" s="4">
        <v>200</v>
      </c>
      <c r="Q187" s="16">
        <v>152046</v>
      </c>
      <c r="R187" s="16"/>
      <c r="S187" s="6">
        <v>48</v>
      </c>
      <c r="T187" s="1">
        <v>48</v>
      </c>
      <c r="U187" s="1">
        <v>60</v>
      </c>
      <c r="AH187" s="4">
        <v>32</v>
      </c>
      <c r="AI187" s="1">
        <v>32</v>
      </c>
      <c r="AJ187" s="1">
        <v>40</v>
      </c>
      <c r="AV187" s="4"/>
      <c r="AW187" s="1">
        <v>2</v>
      </c>
      <c r="AX187" s="1">
        <v>2</v>
      </c>
      <c r="AY187" s="1">
        <v>2</v>
      </c>
    </row>
    <row r="188" spans="12:53" ht="15.75" customHeight="1" x14ac:dyDescent="0.25">
      <c r="L188" s="1" t="s">
        <v>343</v>
      </c>
      <c r="M188" s="1">
        <v>36</v>
      </c>
      <c r="N188" s="1">
        <f>Table_2[[#This Row],[Pnom]]*1000*1.6</f>
        <v>57600</v>
      </c>
      <c r="O188" s="1">
        <v>950</v>
      </c>
      <c r="P188" s="4">
        <v>200</v>
      </c>
      <c r="Q188" s="5"/>
      <c r="R188" s="5"/>
      <c r="S188" s="6">
        <v>48</v>
      </c>
      <c r="T188" s="1">
        <v>48</v>
      </c>
      <c r="U188" s="1">
        <v>60</v>
      </c>
      <c r="AH188" s="12">
        <v>32</v>
      </c>
      <c r="AI188" s="12">
        <v>32</v>
      </c>
      <c r="AJ188" s="12">
        <v>40</v>
      </c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">
        <v>2</v>
      </c>
      <c r="AX188" s="1">
        <v>2</v>
      </c>
      <c r="AY188" s="1">
        <v>2</v>
      </c>
    </row>
    <row r="189" spans="12:53" ht="15.75" customHeight="1" x14ac:dyDescent="0.25">
      <c r="L189" s="1" t="s">
        <v>344</v>
      </c>
      <c r="M189" s="1">
        <v>36</v>
      </c>
      <c r="N189" s="1">
        <f>Table_2[[#This Row],[Pnom]]*1.6*1000</f>
        <v>57600</v>
      </c>
      <c r="O189" s="1">
        <v>800</v>
      </c>
      <c r="P189" s="4">
        <v>250</v>
      </c>
      <c r="Q189" s="16">
        <v>152074</v>
      </c>
      <c r="R189" s="16" t="s">
        <v>62</v>
      </c>
      <c r="S189" s="15">
        <v>60</v>
      </c>
      <c r="T189" s="12">
        <v>48</v>
      </c>
      <c r="U189" s="12">
        <v>48</v>
      </c>
      <c r="V189" s="12">
        <v>60</v>
      </c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>
        <v>40</v>
      </c>
      <c r="AI189" s="12">
        <v>32</v>
      </c>
      <c r="AJ189" s="12">
        <v>32</v>
      </c>
      <c r="AK189" s="12">
        <v>40</v>
      </c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">
        <v>2</v>
      </c>
      <c r="AX189" s="1">
        <v>2</v>
      </c>
      <c r="AY189" s="1">
        <v>2</v>
      </c>
      <c r="AZ189" s="1">
        <v>2</v>
      </c>
    </row>
    <row r="190" spans="12:53" ht="15.75" customHeight="1" x14ac:dyDescent="0.25">
      <c r="L190" s="1" t="s">
        <v>345</v>
      </c>
      <c r="M190" s="1">
        <v>37.5</v>
      </c>
      <c r="N190" s="1">
        <f>Table_2[[#This Row],[Pnom]]*1.6*1000</f>
        <v>60000</v>
      </c>
      <c r="O190" s="1">
        <v>800</v>
      </c>
      <c r="P190" s="4">
        <v>250</v>
      </c>
      <c r="Q190" s="5">
        <v>160674</v>
      </c>
      <c r="R190" s="5" t="s">
        <v>62</v>
      </c>
      <c r="S190" s="15">
        <v>60</v>
      </c>
      <c r="T190" s="12">
        <v>48</v>
      </c>
      <c r="U190" s="12">
        <v>48</v>
      </c>
      <c r="V190" s="12">
        <v>60</v>
      </c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>
        <v>40</v>
      </c>
      <c r="AI190" s="12">
        <v>32</v>
      </c>
      <c r="AJ190" s="12">
        <v>32</v>
      </c>
      <c r="AK190" s="12">
        <v>40</v>
      </c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">
        <v>2</v>
      </c>
      <c r="AX190" s="1">
        <v>2</v>
      </c>
      <c r="AY190" s="1">
        <v>2</v>
      </c>
      <c r="AZ190" s="1">
        <v>2</v>
      </c>
    </row>
    <row r="191" spans="12:53" ht="15.75" customHeight="1" x14ac:dyDescent="0.25">
      <c r="L191" s="1" t="s">
        <v>346</v>
      </c>
      <c r="M191" s="1">
        <v>4</v>
      </c>
      <c r="N191" s="1">
        <f>Table_2[[#This Row],[Pnom]]*1.6*1000</f>
        <v>6400</v>
      </c>
      <c r="O191" s="1">
        <v>580</v>
      </c>
      <c r="P191" s="4">
        <v>100</v>
      </c>
      <c r="Q191" s="16"/>
      <c r="R191" s="16"/>
      <c r="S191" s="15">
        <v>18</v>
      </c>
      <c r="T191" s="12">
        <v>18</v>
      </c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>
        <v>12</v>
      </c>
      <c r="AI191" s="12">
        <v>12</v>
      </c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">
        <v>1</v>
      </c>
      <c r="AX191" s="1">
        <v>1</v>
      </c>
    </row>
    <row r="192" spans="12:53" ht="15.75" customHeight="1" x14ac:dyDescent="0.25">
      <c r="L192" s="1" t="s">
        <v>347</v>
      </c>
      <c r="M192" s="1">
        <v>40</v>
      </c>
      <c r="N192" s="1" t="e">
        <f>IF(OR(#REF!="- DAH MONO 555W",#REF!="- LEAPTON - MONO -  560W",#REF!="- Renesola 560W - RS560-560M-E3",#REF!="- DMEGC 560 - DM560M10-72HSW/HBW"),60000,64000)</f>
        <v>#REF!</v>
      </c>
      <c r="O192" s="1" t="e">
        <f>IF(OR(#REF!="- DAH MONO 555W",#REF!="- LEAPTON - MONO -  560W",#REF!="- Renesola 560W - RS560-560M-E3",#REF!="- DMEGC 560 - DM560M10-72HSW/HBW"),1100,950)</f>
        <v>#REF!</v>
      </c>
      <c r="P192" s="4">
        <v>200</v>
      </c>
      <c r="Q192" s="5"/>
      <c r="R192" s="5"/>
      <c r="S192" s="15">
        <v>48</v>
      </c>
      <c r="T192" s="12">
        <v>48</v>
      </c>
      <c r="U192" s="12">
        <v>60</v>
      </c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>
        <v>32</v>
      </c>
      <c r="AI192" s="12">
        <v>32</v>
      </c>
      <c r="AJ192" s="12">
        <v>40</v>
      </c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">
        <v>2</v>
      </c>
      <c r="AX192" s="1">
        <v>2</v>
      </c>
      <c r="AY192" s="1">
        <v>2</v>
      </c>
    </row>
    <row r="193" spans="12:58" ht="15.75" customHeight="1" x14ac:dyDescent="0.25">
      <c r="L193" s="1" t="s">
        <v>348</v>
      </c>
      <c r="M193" s="1">
        <v>5</v>
      </c>
      <c r="N193" s="1">
        <f>Table_2[[#This Row],[Pnom]]*1.6*1000</f>
        <v>8000</v>
      </c>
      <c r="O193" s="1">
        <v>600</v>
      </c>
      <c r="P193" s="4">
        <v>100</v>
      </c>
      <c r="Q193" s="16"/>
      <c r="R193" s="16"/>
      <c r="S193" s="15">
        <v>18</v>
      </c>
      <c r="T193" s="12">
        <v>18</v>
      </c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>
        <v>12</v>
      </c>
      <c r="AI193" s="12">
        <v>12</v>
      </c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">
        <v>1</v>
      </c>
      <c r="AX193" s="1">
        <v>1</v>
      </c>
    </row>
    <row r="194" spans="12:58" ht="15.75" customHeight="1" x14ac:dyDescent="0.25">
      <c r="L194" s="1" t="s">
        <v>349</v>
      </c>
      <c r="M194" s="1">
        <v>50</v>
      </c>
      <c r="N194" s="1">
        <f>Table_2[[#This Row],[Pnom]]*1.6*1000</f>
        <v>80000</v>
      </c>
      <c r="O194" s="1">
        <v>950</v>
      </c>
      <c r="P194" s="4">
        <v>250</v>
      </c>
      <c r="Q194" s="5">
        <v>143409</v>
      </c>
      <c r="R194" s="5"/>
      <c r="S194" s="15">
        <v>48</v>
      </c>
      <c r="T194" s="12">
        <v>48</v>
      </c>
      <c r="U194" s="12">
        <v>48</v>
      </c>
      <c r="V194" s="12">
        <v>48</v>
      </c>
      <c r="W194" s="12">
        <v>48</v>
      </c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v>32</v>
      </c>
      <c r="AI194" s="12">
        <v>32</v>
      </c>
      <c r="AJ194" s="12">
        <v>32</v>
      </c>
      <c r="AK194" s="12">
        <v>32</v>
      </c>
      <c r="AL194" s="12">
        <v>32</v>
      </c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">
        <v>2</v>
      </c>
      <c r="AX194" s="1">
        <v>2</v>
      </c>
      <c r="AY194" s="1">
        <v>2</v>
      </c>
      <c r="AZ194" s="1">
        <v>2</v>
      </c>
      <c r="BA194" s="1">
        <v>2</v>
      </c>
    </row>
    <row r="195" spans="12:58" ht="15.75" customHeight="1" x14ac:dyDescent="0.25">
      <c r="L195" s="1" t="s">
        <v>350</v>
      </c>
      <c r="M195" s="1">
        <v>7.3</v>
      </c>
      <c r="N195" s="1">
        <v>13200</v>
      </c>
      <c r="O195" s="1">
        <v>600</v>
      </c>
      <c r="P195" s="4">
        <v>100</v>
      </c>
      <c r="Q195" s="16">
        <v>143408</v>
      </c>
      <c r="R195" s="16"/>
      <c r="S195" s="15">
        <v>22.5</v>
      </c>
      <c r="T195" s="12">
        <v>22.5</v>
      </c>
      <c r="U195" s="12">
        <v>22.5</v>
      </c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v>16</v>
      </c>
      <c r="AI195" s="12">
        <v>16</v>
      </c>
      <c r="AJ195" s="12">
        <v>16</v>
      </c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">
        <v>1</v>
      </c>
      <c r="AX195" s="1">
        <v>1</v>
      </c>
      <c r="AY195" s="1">
        <v>1</v>
      </c>
    </row>
    <row r="196" spans="12:58" ht="15.75" customHeight="1" x14ac:dyDescent="0.25">
      <c r="L196" s="1" t="s">
        <v>351</v>
      </c>
      <c r="M196" s="1">
        <v>7.5</v>
      </c>
      <c r="N196" s="1">
        <v>12000</v>
      </c>
      <c r="O196" s="1">
        <v>600</v>
      </c>
      <c r="P196" s="4">
        <v>100</v>
      </c>
      <c r="Q196" s="5">
        <v>153992</v>
      </c>
      <c r="R196" s="5" t="s">
        <v>62</v>
      </c>
      <c r="S196" s="6">
        <v>22.5</v>
      </c>
      <c r="T196" s="1">
        <v>22.5</v>
      </c>
      <c r="U196" s="1">
        <v>22.5</v>
      </c>
      <c r="AH196" s="12">
        <v>16</v>
      </c>
      <c r="AI196" s="12">
        <v>16</v>
      </c>
      <c r="AJ196" s="12">
        <v>16</v>
      </c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">
        <v>1</v>
      </c>
      <c r="AX196" s="1">
        <v>1</v>
      </c>
      <c r="AY196" s="1">
        <v>1</v>
      </c>
    </row>
    <row r="197" spans="12:58" ht="15.75" customHeight="1" x14ac:dyDescent="0.25">
      <c r="L197" s="1" t="s">
        <v>352</v>
      </c>
      <c r="M197" s="1">
        <v>8</v>
      </c>
      <c r="N197" s="1">
        <f>Table_2[[#This Row],[Pnom]]*1.6*1000</f>
        <v>12800</v>
      </c>
      <c r="O197" s="1">
        <v>600</v>
      </c>
      <c r="P197" s="4">
        <v>100</v>
      </c>
      <c r="Q197" s="16"/>
      <c r="R197" s="16"/>
      <c r="S197" s="15">
        <v>22.5</v>
      </c>
      <c r="T197" s="12">
        <v>22.5</v>
      </c>
      <c r="U197" s="12">
        <v>22.5</v>
      </c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>
        <v>16</v>
      </c>
      <c r="AI197" s="12">
        <v>16</v>
      </c>
      <c r="AJ197" s="12">
        <v>16</v>
      </c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">
        <v>1</v>
      </c>
      <c r="AX197" s="1">
        <v>1</v>
      </c>
      <c r="AY197" s="1">
        <v>1</v>
      </c>
    </row>
    <row r="198" spans="12:58" ht="15.75" customHeight="1" x14ac:dyDescent="0.25">
      <c r="L198" s="1" t="s">
        <v>353</v>
      </c>
      <c r="M198" s="1">
        <v>9.1</v>
      </c>
      <c r="N198" s="1">
        <v>16500</v>
      </c>
      <c r="O198" s="1">
        <v>600</v>
      </c>
      <c r="P198" s="4">
        <v>100</v>
      </c>
      <c r="Q198" s="5">
        <v>152131</v>
      </c>
      <c r="R198" s="5" t="s">
        <v>62</v>
      </c>
      <c r="S198" s="15">
        <v>28</v>
      </c>
      <c r="T198" s="12">
        <v>22.5</v>
      </c>
      <c r="U198" s="12">
        <v>28</v>
      </c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v>20</v>
      </c>
      <c r="AI198" s="12">
        <v>16</v>
      </c>
      <c r="AJ198" s="12">
        <v>20</v>
      </c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">
        <v>1</v>
      </c>
      <c r="AX198" s="1">
        <v>1</v>
      </c>
      <c r="AY198" s="1">
        <v>1</v>
      </c>
    </row>
    <row r="199" spans="12:58" ht="15.75" customHeight="1" x14ac:dyDescent="0.25">
      <c r="L199" s="1" t="s">
        <v>354</v>
      </c>
      <c r="M199" s="1">
        <v>110</v>
      </c>
      <c r="N199" s="1">
        <f>Table_2[[#This Row],[Pnom]]*1.6*1000</f>
        <v>176000</v>
      </c>
      <c r="O199" s="1">
        <v>950</v>
      </c>
      <c r="P199" s="4">
        <v>250</v>
      </c>
      <c r="Q199" s="16">
        <v>170120</v>
      </c>
      <c r="R199" s="16"/>
      <c r="S199" s="15">
        <v>48</v>
      </c>
      <c r="T199" s="12">
        <v>48</v>
      </c>
      <c r="U199" s="12">
        <v>48</v>
      </c>
      <c r="V199" s="12">
        <v>48</v>
      </c>
      <c r="W199" s="12">
        <v>48</v>
      </c>
      <c r="X199" s="12">
        <v>48</v>
      </c>
      <c r="Y199" s="12">
        <v>48</v>
      </c>
      <c r="Z199" s="12">
        <v>48</v>
      </c>
      <c r="AA199" s="12">
        <v>48</v>
      </c>
      <c r="AB199" s="12">
        <v>48</v>
      </c>
      <c r="AC199" s="12"/>
      <c r="AD199" s="12"/>
      <c r="AE199" s="12"/>
      <c r="AF199" s="12"/>
      <c r="AG199" s="12"/>
      <c r="AH199" s="12">
        <v>32</v>
      </c>
      <c r="AI199" s="12">
        <v>32</v>
      </c>
      <c r="AJ199" s="12">
        <v>32</v>
      </c>
      <c r="AK199" s="12">
        <v>32</v>
      </c>
      <c r="AL199" s="12">
        <v>32</v>
      </c>
      <c r="AM199" s="12">
        <v>32</v>
      </c>
      <c r="AN199" s="12">
        <v>32</v>
      </c>
      <c r="AO199" s="12">
        <v>32</v>
      </c>
      <c r="AP199" s="12">
        <v>32</v>
      </c>
      <c r="AQ199" s="12">
        <v>32</v>
      </c>
      <c r="AR199" s="12"/>
      <c r="AS199" s="12"/>
      <c r="AT199" s="12"/>
      <c r="AU199" s="12"/>
      <c r="AV199" s="12"/>
      <c r="AW199" s="1">
        <v>2</v>
      </c>
      <c r="AX199" s="1">
        <v>2</v>
      </c>
      <c r="AY199" s="1">
        <v>2</v>
      </c>
      <c r="AZ199" s="1">
        <v>2</v>
      </c>
      <c r="BA199" s="1">
        <v>2</v>
      </c>
      <c r="BB199" s="1">
        <v>2</v>
      </c>
      <c r="BC199" s="1">
        <v>2</v>
      </c>
      <c r="BD199" s="1">
        <v>2</v>
      </c>
      <c r="BE199" s="1">
        <v>2</v>
      </c>
      <c r="BF199" s="1">
        <v>2</v>
      </c>
    </row>
    <row r="200" spans="12:58" ht="15.75" customHeight="1" x14ac:dyDescent="0.25">
      <c r="L200" s="1" t="s">
        <v>355</v>
      </c>
      <c r="M200" s="1">
        <v>12</v>
      </c>
      <c r="N200" s="1">
        <v>18000</v>
      </c>
      <c r="O200" s="1">
        <v>1100</v>
      </c>
      <c r="P200" s="4">
        <v>180</v>
      </c>
      <c r="Q200" s="5"/>
      <c r="R200" s="5"/>
      <c r="S200" s="6">
        <v>30</v>
      </c>
      <c r="T200" s="1">
        <v>30</v>
      </c>
      <c r="AH200" s="12">
        <v>20</v>
      </c>
      <c r="AI200" s="12">
        <v>20</v>
      </c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">
        <v>1</v>
      </c>
      <c r="AX200" s="1">
        <v>1</v>
      </c>
    </row>
    <row r="201" spans="12:58" ht="15.75" customHeight="1" x14ac:dyDescent="0.25">
      <c r="L201" s="1" t="s">
        <v>356</v>
      </c>
      <c r="M201" s="1">
        <v>3</v>
      </c>
      <c r="N201" s="1">
        <f>Table_2[[#This Row],[Pnom]]*1.6*1000</f>
        <v>4800.0000000000009</v>
      </c>
      <c r="O201" s="1">
        <v>580</v>
      </c>
      <c r="P201" s="4">
        <v>100</v>
      </c>
      <c r="Q201" s="16">
        <v>152036</v>
      </c>
      <c r="R201" s="16" t="s">
        <v>62</v>
      </c>
      <c r="S201" s="6">
        <v>24</v>
      </c>
      <c r="T201" s="1">
        <v>24</v>
      </c>
      <c r="AH201" s="4">
        <v>16</v>
      </c>
      <c r="AI201" s="1">
        <v>16</v>
      </c>
      <c r="AV201" s="4"/>
      <c r="AW201" s="1">
        <v>1</v>
      </c>
      <c r="AX201" s="1">
        <v>1</v>
      </c>
    </row>
    <row r="202" spans="12:58" ht="15.75" customHeight="1" x14ac:dyDescent="0.25">
      <c r="L202" s="1" t="s">
        <v>357</v>
      </c>
      <c r="M202" s="1">
        <v>37.5</v>
      </c>
      <c r="N202" s="1">
        <f>Table_2[[#This Row],[Pnom]]*1000*1.6</f>
        <v>60000</v>
      </c>
      <c r="O202" s="1">
        <v>800</v>
      </c>
      <c r="P202" s="4">
        <v>200</v>
      </c>
      <c r="Q202" s="5"/>
      <c r="R202" s="5"/>
      <c r="S202" s="6">
        <v>60</v>
      </c>
      <c r="T202" s="1">
        <v>48</v>
      </c>
      <c r="U202" s="1">
        <v>48</v>
      </c>
      <c r="V202" s="1">
        <v>60</v>
      </c>
      <c r="AH202" s="12">
        <v>40</v>
      </c>
      <c r="AI202" s="12">
        <v>32</v>
      </c>
      <c r="AJ202" s="12">
        <v>32</v>
      </c>
      <c r="AK202" s="12">
        <v>40</v>
      </c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">
        <v>2</v>
      </c>
      <c r="AX202" s="1">
        <v>2</v>
      </c>
      <c r="AY202" s="1">
        <v>2</v>
      </c>
      <c r="AZ202" s="1">
        <v>2</v>
      </c>
    </row>
    <row r="203" spans="12:58" ht="15.75" customHeight="1" x14ac:dyDescent="0.25">
      <c r="L203" s="1" t="s">
        <v>358</v>
      </c>
      <c r="M203" s="1">
        <v>4</v>
      </c>
      <c r="N203" s="1">
        <f>Table_2[[#This Row],[Pnom]]*1.6*1000</f>
        <v>6400</v>
      </c>
      <c r="O203" s="1">
        <v>600</v>
      </c>
      <c r="P203" s="4">
        <v>100</v>
      </c>
      <c r="Q203" s="16">
        <v>152038</v>
      </c>
      <c r="R203" s="16" t="s">
        <v>62</v>
      </c>
      <c r="S203" s="6">
        <v>24</v>
      </c>
      <c r="T203" s="1">
        <v>24</v>
      </c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>
        <v>16</v>
      </c>
      <c r="AI203" s="12">
        <v>16</v>
      </c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">
        <v>1</v>
      </c>
      <c r="AX203" s="1">
        <v>1</v>
      </c>
    </row>
    <row r="204" spans="12:58" ht="15.75" customHeight="1" x14ac:dyDescent="0.25">
      <c r="L204" s="1" t="s">
        <v>359</v>
      </c>
      <c r="M204" s="1">
        <v>5</v>
      </c>
      <c r="N204" s="1">
        <v>7500</v>
      </c>
      <c r="O204" s="1">
        <v>550</v>
      </c>
      <c r="P204" s="4">
        <v>50</v>
      </c>
      <c r="Q204" s="5"/>
      <c r="R204" s="5"/>
      <c r="S204" s="6">
        <v>20</v>
      </c>
      <c r="T204" s="1">
        <v>20</v>
      </c>
      <c r="AH204" s="12">
        <v>16</v>
      </c>
      <c r="AI204" s="12">
        <v>16</v>
      </c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">
        <v>1</v>
      </c>
      <c r="AX204" s="1">
        <v>1</v>
      </c>
    </row>
    <row r="205" spans="12:58" ht="15.75" customHeight="1" x14ac:dyDescent="0.25">
      <c r="L205" s="1" t="s">
        <v>360</v>
      </c>
      <c r="M205" s="1">
        <v>5</v>
      </c>
      <c r="N205" s="1">
        <f>Table_2[[#This Row],[Pnom]]*1.6*1000</f>
        <v>8000</v>
      </c>
      <c r="O205" s="1">
        <v>600</v>
      </c>
      <c r="P205" s="4">
        <v>100</v>
      </c>
      <c r="Q205" s="16">
        <v>152039</v>
      </c>
      <c r="R205" s="16" t="s">
        <v>62</v>
      </c>
      <c r="S205" s="6">
        <v>24</v>
      </c>
      <c r="T205" s="1">
        <v>24</v>
      </c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>
        <v>16</v>
      </c>
      <c r="AI205" s="12">
        <v>16</v>
      </c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">
        <v>1</v>
      </c>
      <c r="AX205" s="1">
        <v>1</v>
      </c>
    </row>
    <row r="206" spans="12:58" ht="15.75" customHeight="1" x14ac:dyDescent="0.25">
      <c r="L206" s="1" t="s">
        <v>361</v>
      </c>
      <c r="M206" s="1">
        <v>6</v>
      </c>
      <c r="N206" s="1">
        <v>9600</v>
      </c>
      <c r="O206" s="1">
        <v>550</v>
      </c>
      <c r="P206" s="4">
        <v>50</v>
      </c>
      <c r="Q206" s="5"/>
      <c r="R206" s="5"/>
      <c r="S206" s="6">
        <v>20</v>
      </c>
      <c r="T206" s="1">
        <v>20</v>
      </c>
      <c r="AH206" s="4">
        <v>16</v>
      </c>
      <c r="AI206" s="1">
        <v>16</v>
      </c>
      <c r="AV206" s="4"/>
      <c r="AW206" s="1">
        <v>1</v>
      </c>
      <c r="AX206" s="1">
        <v>1</v>
      </c>
    </row>
    <row r="207" spans="12:58" ht="15.75" customHeight="1" x14ac:dyDescent="0.25">
      <c r="L207" s="1" t="s">
        <v>362</v>
      </c>
      <c r="M207" s="1">
        <v>6</v>
      </c>
      <c r="N207" s="1">
        <f>Table_2[[#This Row],[Pnom]]*1.6*1000</f>
        <v>9600.0000000000018</v>
      </c>
      <c r="O207" s="1">
        <v>600</v>
      </c>
      <c r="P207" s="4">
        <v>100</v>
      </c>
      <c r="Q207" s="16">
        <v>143406</v>
      </c>
      <c r="R207" s="16" t="s">
        <v>62</v>
      </c>
      <c r="S207" s="6">
        <v>24</v>
      </c>
      <c r="T207" s="1">
        <v>24</v>
      </c>
      <c r="AH207" s="4">
        <v>16</v>
      </c>
      <c r="AI207" s="1">
        <v>16</v>
      </c>
      <c r="AV207" s="4"/>
      <c r="AW207" s="1">
        <v>1</v>
      </c>
      <c r="AX207" s="1">
        <v>1</v>
      </c>
    </row>
    <row r="208" spans="12:58" ht="15.75" customHeight="1" x14ac:dyDescent="0.25">
      <c r="L208" s="1" t="s">
        <v>363</v>
      </c>
      <c r="M208" s="1">
        <v>60</v>
      </c>
      <c r="N208" s="1">
        <f>Table_2[[#This Row],[Pnom]]*1.6*1000</f>
        <v>96000</v>
      </c>
      <c r="O208" s="1">
        <v>950</v>
      </c>
      <c r="P208" s="4">
        <v>250</v>
      </c>
      <c r="Q208" s="5">
        <v>143410</v>
      </c>
      <c r="R208" s="5"/>
      <c r="S208" s="6">
        <v>60</v>
      </c>
      <c r="T208" s="1">
        <v>48</v>
      </c>
      <c r="U208" s="1">
        <v>48</v>
      </c>
      <c r="V208" s="1">
        <v>60</v>
      </c>
      <c r="W208" s="1">
        <v>48</v>
      </c>
      <c r="AH208" s="12">
        <v>40</v>
      </c>
      <c r="AI208" s="12">
        <v>32</v>
      </c>
      <c r="AJ208" s="12">
        <v>32</v>
      </c>
      <c r="AK208" s="12">
        <v>40</v>
      </c>
      <c r="AL208" s="12">
        <v>32</v>
      </c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">
        <v>2</v>
      </c>
      <c r="AX208" s="1">
        <v>2</v>
      </c>
      <c r="AY208" s="1">
        <v>2</v>
      </c>
      <c r="AZ208" s="1">
        <v>2</v>
      </c>
      <c r="BA208" s="1">
        <v>2</v>
      </c>
    </row>
    <row r="209" spans="12:61" ht="15.75" customHeight="1" x14ac:dyDescent="0.25">
      <c r="L209" s="1" t="s">
        <v>364</v>
      </c>
      <c r="M209" s="1">
        <v>75</v>
      </c>
      <c r="N209" s="1">
        <f>Table_2[[#This Row],[Pnom]]*1.6*1000</f>
        <v>120000</v>
      </c>
      <c r="O209" s="1">
        <v>950</v>
      </c>
      <c r="P209" s="4">
        <v>250</v>
      </c>
      <c r="Q209" s="16">
        <v>163668</v>
      </c>
      <c r="R209" s="16"/>
      <c r="S209" s="15">
        <v>48</v>
      </c>
      <c r="T209" s="12">
        <v>48</v>
      </c>
      <c r="U209" s="12">
        <v>48</v>
      </c>
      <c r="V209" s="12">
        <v>48</v>
      </c>
      <c r="W209" s="12">
        <v>48</v>
      </c>
      <c r="X209" s="12">
        <v>48</v>
      </c>
      <c r="Y209" s="12">
        <v>48</v>
      </c>
      <c r="Z209" s="12">
        <v>48</v>
      </c>
      <c r="AA209" s="12"/>
      <c r="AB209" s="12"/>
      <c r="AC209" s="12"/>
      <c r="AD209" s="12"/>
      <c r="AE209" s="12"/>
      <c r="AF209" s="12"/>
      <c r="AG209" s="12"/>
      <c r="AH209" s="12">
        <v>32</v>
      </c>
      <c r="AI209" s="12">
        <v>32</v>
      </c>
      <c r="AJ209" s="12">
        <v>32</v>
      </c>
      <c r="AK209" s="12">
        <v>32</v>
      </c>
      <c r="AL209" s="12">
        <v>32</v>
      </c>
      <c r="AM209" s="12">
        <v>32</v>
      </c>
      <c r="AN209" s="12">
        <v>32</v>
      </c>
      <c r="AO209" s="12">
        <v>32</v>
      </c>
      <c r="AP209" s="12"/>
      <c r="AQ209" s="12"/>
      <c r="AR209" s="12"/>
      <c r="AS209" s="12"/>
      <c r="AT209" s="12"/>
      <c r="AU209" s="12"/>
      <c r="AV209" s="12"/>
      <c r="AW209" s="1">
        <v>2</v>
      </c>
      <c r="AX209" s="1">
        <v>2</v>
      </c>
      <c r="AY209" s="1">
        <v>2</v>
      </c>
      <c r="AZ209" s="1">
        <v>2</v>
      </c>
      <c r="BA209" s="1">
        <v>2</v>
      </c>
      <c r="BB209" s="1">
        <v>2</v>
      </c>
      <c r="BC209" s="1">
        <v>2</v>
      </c>
      <c r="BD209" s="1">
        <v>2</v>
      </c>
    </row>
    <row r="210" spans="12:61" ht="15.75" customHeight="1" x14ac:dyDescent="0.25">
      <c r="L210" s="1" t="s">
        <v>365</v>
      </c>
      <c r="M210" s="1">
        <v>75</v>
      </c>
      <c r="N210" s="1">
        <v>120000</v>
      </c>
      <c r="O210" s="1">
        <v>800</v>
      </c>
      <c r="P210" s="4">
        <v>250</v>
      </c>
      <c r="Q210" s="5">
        <v>154013</v>
      </c>
      <c r="R210" s="5" t="s">
        <v>62</v>
      </c>
      <c r="S210" s="6">
        <v>50</v>
      </c>
      <c r="T210" s="1">
        <v>50</v>
      </c>
      <c r="U210" s="1">
        <v>50</v>
      </c>
      <c r="V210" s="1">
        <v>50</v>
      </c>
      <c r="W210" s="1">
        <v>50</v>
      </c>
      <c r="X210" s="1">
        <v>50</v>
      </c>
      <c r="Y210" s="1">
        <v>50</v>
      </c>
      <c r="Z210" s="1">
        <v>50</v>
      </c>
      <c r="AH210" s="4">
        <v>40</v>
      </c>
      <c r="AI210" s="1">
        <v>40</v>
      </c>
      <c r="AJ210" s="1">
        <v>40</v>
      </c>
      <c r="AK210" s="1">
        <v>40</v>
      </c>
      <c r="AL210" s="1">
        <v>40</v>
      </c>
      <c r="AM210" s="1">
        <v>40</v>
      </c>
      <c r="AN210" s="1">
        <v>40</v>
      </c>
      <c r="AO210" s="1">
        <v>40</v>
      </c>
      <c r="AV210" s="4"/>
      <c r="AW210" s="1">
        <v>2</v>
      </c>
      <c r="AX210" s="1">
        <v>2</v>
      </c>
      <c r="AY210" s="1">
        <v>2</v>
      </c>
      <c r="AZ210" s="1">
        <v>2</v>
      </c>
      <c r="BA210" s="1">
        <v>2</v>
      </c>
      <c r="BB210" s="1">
        <v>2</v>
      </c>
      <c r="BC210" s="1">
        <v>2</v>
      </c>
      <c r="BD210" s="1">
        <v>2</v>
      </c>
    </row>
    <row r="211" spans="12:61" ht="15.75" customHeight="1" x14ac:dyDescent="0.25">
      <c r="L211" s="1" t="s">
        <v>366</v>
      </c>
      <c r="M211" s="1">
        <v>8</v>
      </c>
      <c r="N211" s="1">
        <v>11000</v>
      </c>
      <c r="O211" s="1">
        <v>500</v>
      </c>
      <c r="P211" s="4">
        <v>125</v>
      </c>
      <c r="Q211" s="16"/>
      <c r="R211" s="16"/>
      <c r="S211" s="6">
        <v>22</v>
      </c>
      <c r="T211" s="1">
        <v>22</v>
      </c>
      <c r="AH211" s="12">
        <v>22</v>
      </c>
      <c r="AI211" s="12">
        <v>22</v>
      </c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">
        <v>1</v>
      </c>
      <c r="AX211" s="1">
        <v>1</v>
      </c>
    </row>
    <row r="212" spans="12:61" ht="15.75" customHeight="1" x14ac:dyDescent="0.25">
      <c r="L212" s="1" t="s">
        <v>367</v>
      </c>
      <c r="M212" s="1">
        <v>10</v>
      </c>
      <c r="N212" s="1">
        <f>Table_2[[#This Row],[Pnom]]*1.7*1000</f>
        <v>17000</v>
      </c>
      <c r="O212" s="1">
        <v>600</v>
      </c>
      <c r="P212" s="1">
        <v>50</v>
      </c>
      <c r="Q212" s="5">
        <v>216764</v>
      </c>
      <c r="R212" s="5" t="s">
        <v>62</v>
      </c>
      <c r="S212" s="6">
        <v>25</v>
      </c>
      <c r="T212" s="1">
        <v>25</v>
      </c>
      <c r="U212" s="1">
        <v>25</v>
      </c>
      <c r="AH212" s="1">
        <v>20</v>
      </c>
      <c r="AI212" s="1">
        <v>20</v>
      </c>
      <c r="AJ212" s="1">
        <v>20</v>
      </c>
      <c r="AW212" s="1">
        <v>1</v>
      </c>
      <c r="AX212" s="1">
        <v>1</v>
      </c>
      <c r="AY212" s="1">
        <v>1</v>
      </c>
    </row>
    <row r="213" spans="12:61" ht="15.75" customHeight="1" x14ac:dyDescent="0.25">
      <c r="L213" s="1" t="s">
        <v>368</v>
      </c>
      <c r="M213" s="1">
        <v>110</v>
      </c>
      <c r="N213" s="1">
        <v>220000</v>
      </c>
      <c r="O213" s="1">
        <v>1100</v>
      </c>
      <c r="P213" s="4">
        <v>250</v>
      </c>
      <c r="Q213" s="16">
        <v>216753</v>
      </c>
      <c r="R213" s="16"/>
      <c r="S213" s="15">
        <v>40</v>
      </c>
      <c r="T213" s="12">
        <v>40</v>
      </c>
      <c r="U213" s="12">
        <v>40</v>
      </c>
      <c r="V213" s="12">
        <v>40</v>
      </c>
      <c r="W213" s="12">
        <v>40</v>
      </c>
      <c r="X213" s="12">
        <v>40</v>
      </c>
      <c r="Y213" s="12">
        <v>40</v>
      </c>
      <c r="Z213" s="12">
        <v>40</v>
      </c>
      <c r="AA213" s="12">
        <v>40</v>
      </c>
      <c r="AB213" s="12"/>
      <c r="AC213" s="12"/>
      <c r="AD213" s="12"/>
      <c r="AE213" s="12"/>
      <c r="AF213" s="12"/>
      <c r="AG213" s="12"/>
      <c r="AH213" s="12">
        <v>26</v>
      </c>
      <c r="AI213" s="12">
        <v>26</v>
      </c>
      <c r="AJ213" s="12">
        <v>26</v>
      </c>
      <c r="AK213" s="12">
        <v>26</v>
      </c>
      <c r="AL213" s="12">
        <v>26</v>
      </c>
      <c r="AM213" s="12">
        <v>26</v>
      </c>
      <c r="AN213" s="12">
        <v>26</v>
      </c>
      <c r="AO213" s="12">
        <v>26</v>
      </c>
      <c r="AP213" s="12">
        <v>26</v>
      </c>
      <c r="AQ213" s="12"/>
      <c r="AR213" s="12"/>
      <c r="AS213" s="12"/>
      <c r="AT213" s="12"/>
      <c r="AU213" s="12"/>
      <c r="AV213" s="12"/>
      <c r="AW213" s="1">
        <v>2</v>
      </c>
      <c r="AX213" s="1">
        <v>2</v>
      </c>
      <c r="AY213" s="1">
        <v>2</v>
      </c>
      <c r="AZ213" s="1">
        <v>2</v>
      </c>
      <c r="BA213" s="1">
        <v>2</v>
      </c>
      <c r="BB213" s="1">
        <v>2</v>
      </c>
      <c r="BC213" s="1">
        <v>2</v>
      </c>
      <c r="BD213" s="1">
        <v>2</v>
      </c>
      <c r="BE213" s="1">
        <v>2</v>
      </c>
    </row>
    <row r="214" spans="12:61" ht="15.75" customHeight="1" x14ac:dyDescent="0.25">
      <c r="L214" s="1" t="s">
        <v>369</v>
      </c>
      <c r="M214" s="1">
        <v>110</v>
      </c>
      <c r="N214" s="1">
        <f>Table_2[[#This Row],[Pnom]]*2*1000</f>
        <v>220000</v>
      </c>
      <c r="O214" s="1">
        <v>1100</v>
      </c>
      <c r="P214" s="1">
        <v>200</v>
      </c>
      <c r="Q214" s="5"/>
      <c r="R214" s="5"/>
      <c r="S214" s="6">
        <v>40</v>
      </c>
      <c r="T214" s="1">
        <v>40</v>
      </c>
      <c r="U214" s="1">
        <v>40</v>
      </c>
      <c r="V214" s="1">
        <v>40</v>
      </c>
      <c r="W214" s="1">
        <v>40</v>
      </c>
      <c r="X214" s="1">
        <v>40</v>
      </c>
      <c r="Y214" s="1">
        <v>40</v>
      </c>
      <c r="Z214" s="1">
        <v>40</v>
      </c>
      <c r="AA214" s="1">
        <v>40</v>
      </c>
      <c r="AB214" s="1">
        <v>40</v>
      </c>
      <c r="AC214" s="1">
        <v>40</v>
      </c>
      <c r="AD214" s="1">
        <v>40</v>
      </c>
      <c r="AH214" s="1">
        <v>30</v>
      </c>
      <c r="AI214" s="1">
        <v>30</v>
      </c>
      <c r="AJ214" s="1">
        <v>30</v>
      </c>
      <c r="AK214" s="1">
        <v>30</v>
      </c>
      <c r="AL214" s="1">
        <v>30</v>
      </c>
      <c r="AM214" s="1">
        <v>30</v>
      </c>
      <c r="AN214" s="1">
        <v>30</v>
      </c>
      <c r="AO214" s="1">
        <v>30</v>
      </c>
      <c r="AP214" s="1">
        <v>30</v>
      </c>
      <c r="AQ214" s="1">
        <v>30</v>
      </c>
      <c r="AR214" s="1">
        <v>30</v>
      </c>
      <c r="AS214" s="1">
        <v>30</v>
      </c>
      <c r="AW214" s="1">
        <v>2</v>
      </c>
      <c r="AX214" s="1">
        <v>2</v>
      </c>
      <c r="AY214" s="1">
        <v>2</v>
      </c>
      <c r="AZ214" s="1">
        <v>2</v>
      </c>
      <c r="BA214" s="1">
        <v>2</v>
      </c>
      <c r="BB214" s="1">
        <v>2</v>
      </c>
      <c r="BC214" s="1">
        <v>2</v>
      </c>
      <c r="BD214" s="1">
        <v>2</v>
      </c>
      <c r="BE214" s="1">
        <v>2</v>
      </c>
      <c r="BF214" s="1">
        <v>2</v>
      </c>
      <c r="BG214" s="1">
        <v>2</v>
      </c>
      <c r="BH214" s="1">
        <v>2</v>
      </c>
    </row>
    <row r="215" spans="12:61" ht="15.75" customHeight="1" x14ac:dyDescent="0.25">
      <c r="L215" s="1" t="s">
        <v>370</v>
      </c>
      <c r="M215" s="1">
        <v>12</v>
      </c>
      <c r="N215" s="1">
        <f>Table_2[[#This Row],[Pnom]]*2*1000</f>
        <v>24000</v>
      </c>
      <c r="O215" s="1">
        <v>1100</v>
      </c>
      <c r="P215" s="1">
        <v>180</v>
      </c>
      <c r="Q215" s="16">
        <v>216765</v>
      </c>
      <c r="R215" s="16" t="s">
        <v>62</v>
      </c>
      <c r="S215" s="6">
        <v>40</v>
      </c>
      <c r="T215" s="1">
        <v>20</v>
      </c>
      <c r="AH215" s="1">
        <v>32</v>
      </c>
      <c r="AI215" s="1">
        <v>16</v>
      </c>
      <c r="AW215" s="1">
        <v>2</v>
      </c>
      <c r="AX215" s="1">
        <v>1</v>
      </c>
    </row>
    <row r="216" spans="12:61" ht="15.75" customHeight="1" x14ac:dyDescent="0.25">
      <c r="L216" s="1" t="s">
        <v>371</v>
      </c>
      <c r="M216" s="1">
        <v>15</v>
      </c>
      <c r="N216" s="1">
        <f>Table_2[[#This Row],[Pnom]]*2*1000</f>
        <v>30000</v>
      </c>
      <c r="O216" s="1">
        <v>1100</v>
      </c>
      <c r="P216" s="1">
        <v>180</v>
      </c>
      <c r="Q216" s="5">
        <v>216766</v>
      </c>
      <c r="R216" s="11" t="s">
        <v>62</v>
      </c>
      <c r="S216" s="6">
        <v>40</v>
      </c>
      <c r="T216" s="1">
        <v>40</v>
      </c>
      <c r="AH216" s="1">
        <v>32</v>
      </c>
      <c r="AI216" s="1">
        <v>32</v>
      </c>
      <c r="AW216" s="1">
        <v>2</v>
      </c>
      <c r="AX216" s="1">
        <v>2</v>
      </c>
    </row>
    <row r="217" spans="12:61" ht="15.75" customHeight="1" x14ac:dyDescent="0.25">
      <c r="L217" s="1" t="s">
        <v>372</v>
      </c>
      <c r="M217" s="1">
        <v>20</v>
      </c>
      <c r="N217" s="1">
        <f>Table_2[[#This Row],[Pnom]]*2*1000</f>
        <v>40000</v>
      </c>
      <c r="O217" s="1">
        <v>1100</v>
      </c>
      <c r="P217" s="1">
        <v>180</v>
      </c>
      <c r="Q217" s="16">
        <v>216767</v>
      </c>
      <c r="R217" s="16"/>
      <c r="S217" s="6">
        <v>40</v>
      </c>
      <c r="T217" s="1">
        <v>40</v>
      </c>
      <c r="AH217" s="1">
        <v>32</v>
      </c>
      <c r="AI217" s="1">
        <v>32</v>
      </c>
      <c r="AW217" s="1">
        <v>2</v>
      </c>
      <c r="AX217" s="1">
        <v>2</v>
      </c>
    </row>
    <row r="218" spans="12:61" ht="15.75" customHeight="1" x14ac:dyDescent="0.25">
      <c r="L218" s="1" t="s">
        <v>373</v>
      </c>
      <c r="M218" s="1">
        <v>250</v>
      </c>
      <c r="N218" s="1">
        <v>500000</v>
      </c>
      <c r="O218" s="1">
        <v>1500</v>
      </c>
      <c r="P218" s="1">
        <v>500</v>
      </c>
      <c r="Q218" s="5"/>
      <c r="R218" s="5"/>
      <c r="S218" s="15">
        <v>50</v>
      </c>
      <c r="T218" s="12">
        <v>50</v>
      </c>
      <c r="U218" s="12">
        <v>50</v>
      </c>
      <c r="V218" s="12">
        <v>50</v>
      </c>
      <c r="W218" s="12">
        <v>50</v>
      </c>
      <c r="X218" s="12">
        <v>50</v>
      </c>
      <c r="Y218" s="12">
        <v>50</v>
      </c>
      <c r="Z218" s="12">
        <v>50</v>
      </c>
      <c r="AA218" s="12">
        <v>50</v>
      </c>
      <c r="AB218" s="12">
        <v>50</v>
      </c>
      <c r="AC218" s="12">
        <v>50</v>
      </c>
      <c r="AD218" s="12">
        <v>50</v>
      </c>
      <c r="AE218" s="12"/>
      <c r="AF218" s="12"/>
      <c r="AG218" s="12"/>
      <c r="AH218" s="12">
        <v>30</v>
      </c>
      <c r="AI218" s="12">
        <v>30</v>
      </c>
      <c r="AJ218" s="12">
        <v>30</v>
      </c>
      <c r="AK218" s="12">
        <v>30</v>
      </c>
      <c r="AL218" s="12">
        <v>30</v>
      </c>
      <c r="AM218" s="12">
        <v>30</v>
      </c>
      <c r="AN218" s="12">
        <v>30</v>
      </c>
      <c r="AO218" s="12">
        <v>30</v>
      </c>
      <c r="AP218" s="12">
        <v>30</v>
      </c>
      <c r="AQ218" s="12">
        <v>30</v>
      </c>
      <c r="AR218" s="12">
        <v>30</v>
      </c>
      <c r="AS218" s="12">
        <v>30</v>
      </c>
      <c r="AT218" s="12"/>
      <c r="AU218" s="12"/>
      <c r="AV218" s="12"/>
      <c r="AW218" s="1">
        <v>2</v>
      </c>
      <c r="AX218" s="1">
        <v>2</v>
      </c>
      <c r="AY218" s="1">
        <v>2</v>
      </c>
      <c r="AZ218" s="1">
        <v>2</v>
      </c>
      <c r="BA218" s="1">
        <v>2</v>
      </c>
      <c r="BB218" s="1">
        <v>2</v>
      </c>
      <c r="BC218" s="1">
        <v>2</v>
      </c>
      <c r="BD218" s="1">
        <v>2</v>
      </c>
      <c r="BE218" s="1">
        <v>2</v>
      </c>
      <c r="BF218" s="1">
        <v>2</v>
      </c>
      <c r="BG218" s="1">
        <v>2</v>
      </c>
      <c r="BH218" s="1">
        <v>2</v>
      </c>
      <c r="BI218" s="22"/>
    </row>
    <row r="219" spans="12:61" ht="15.75" customHeight="1" x14ac:dyDescent="0.25">
      <c r="L219" s="1" t="s">
        <v>374</v>
      </c>
      <c r="M219" s="1">
        <v>25</v>
      </c>
      <c r="N219" s="1">
        <v>50000</v>
      </c>
      <c r="O219" s="1">
        <v>1100</v>
      </c>
      <c r="P219" s="1">
        <v>250</v>
      </c>
      <c r="Q219" s="16">
        <v>206200</v>
      </c>
      <c r="R219" s="30" t="s">
        <v>62</v>
      </c>
      <c r="S219" s="1">
        <v>40</v>
      </c>
      <c r="T219" s="1">
        <v>40</v>
      </c>
      <c r="U219" s="1">
        <v>40</v>
      </c>
      <c r="AH219" s="1">
        <v>26</v>
      </c>
      <c r="AI219" s="1">
        <v>26</v>
      </c>
      <c r="AW219" s="1">
        <v>2</v>
      </c>
      <c r="AX219" s="1">
        <v>2</v>
      </c>
      <c r="AY219" s="1">
        <v>2</v>
      </c>
    </row>
    <row r="220" spans="12:61" ht="15.75" customHeight="1" x14ac:dyDescent="0.25">
      <c r="L220" s="1" t="s">
        <v>375</v>
      </c>
      <c r="M220" s="1">
        <v>25</v>
      </c>
      <c r="N220" s="1">
        <f>Table_2[[#This Row],[Pnom]]*2*1000</f>
        <v>50000</v>
      </c>
      <c r="O220" s="1">
        <v>1100</v>
      </c>
      <c r="P220" s="1">
        <v>200</v>
      </c>
      <c r="Q220" s="5">
        <v>216768</v>
      </c>
      <c r="R220" s="5"/>
      <c r="S220" s="1">
        <v>40</v>
      </c>
      <c r="T220" s="1">
        <v>40</v>
      </c>
      <c r="U220" s="1">
        <v>40</v>
      </c>
      <c r="AH220" s="1">
        <v>30</v>
      </c>
      <c r="AI220" s="1">
        <v>30</v>
      </c>
      <c r="AJ220" s="1">
        <v>30</v>
      </c>
      <c r="AW220" s="1">
        <v>2</v>
      </c>
      <c r="AX220" s="1">
        <v>2</v>
      </c>
      <c r="AY220" s="1">
        <v>2</v>
      </c>
    </row>
    <row r="221" spans="12:61" ht="15.75" customHeight="1" x14ac:dyDescent="0.25">
      <c r="L221" s="1" t="s">
        <v>376</v>
      </c>
      <c r="M221" s="1">
        <v>30</v>
      </c>
      <c r="N221" s="1">
        <f>Table_2[[#This Row],[Pnom]]*2*1000</f>
        <v>60000</v>
      </c>
      <c r="O221" s="1">
        <v>1100</v>
      </c>
      <c r="P221" s="1">
        <v>200</v>
      </c>
      <c r="Q221" s="16">
        <v>216769</v>
      </c>
      <c r="R221" s="16"/>
      <c r="S221" s="1">
        <v>40</v>
      </c>
      <c r="T221" s="1">
        <v>40</v>
      </c>
      <c r="U221" s="1">
        <v>40</v>
      </c>
      <c r="AH221" s="1">
        <v>30</v>
      </c>
      <c r="AI221" s="1">
        <v>30</v>
      </c>
      <c r="AJ221" s="1">
        <v>30</v>
      </c>
      <c r="AW221" s="1">
        <v>2</v>
      </c>
      <c r="AX221" s="1">
        <v>2</v>
      </c>
      <c r="AY221" s="1">
        <v>2</v>
      </c>
    </row>
    <row r="222" spans="12:61" ht="15.75" customHeight="1" x14ac:dyDescent="0.25">
      <c r="L222" s="1" t="s">
        <v>377</v>
      </c>
      <c r="M222" s="1">
        <v>333</v>
      </c>
      <c r="N222" s="1">
        <v>666000</v>
      </c>
      <c r="O222" s="1">
        <v>1500</v>
      </c>
      <c r="P222" s="1">
        <v>880</v>
      </c>
      <c r="Q222" s="5">
        <v>206199</v>
      </c>
      <c r="R222" s="29" t="s">
        <v>62</v>
      </c>
      <c r="S222" s="12">
        <v>60</v>
      </c>
      <c r="T222" s="12">
        <v>60</v>
      </c>
      <c r="U222" s="12">
        <v>60</v>
      </c>
      <c r="V222" s="12">
        <v>60</v>
      </c>
      <c r="W222" s="12">
        <v>60</v>
      </c>
      <c r="X222" s="12">
        <v>60</v>
      </c>
      <c r="Y222" s="12">
        <v>60</v>
      </c>
      <c r="Z222" s="12">
        <v>60</v>
      </c>
      <c r="AA222" s="12">
        <v>60</v>
      </c>
      <c r="AB222" s="12">
        <v>60</v>
      </c>
      <c r="AC222" s="12">
        <v>60</v>
      </c>
      <c r="AD222" s="12">
        <v>60</v>
      </c>
      <c r="AE222" s="12"/>
      <c r="AF222" s="12"/>
      <c r="AG222" s="12"/>
      <c r="AH222" s="12">
        <v>40</v>
      </c>
      <c r="AI222" s="12">
        <v>40</v>
      </c>
      <c r="AJ222" s="12">
        <v>40</v>
      </c>
      <c r="AK222" s="12">
        <v>40</v>
      </c>
      <c r="AL222" s="12">
        <v>40</v>
      </c>
      <c r="AM222" s="12">
        <v>40</v>
      </c>
      <c r="AN222" s="12">
        <v>40</v>
      </c>
      <c r="AO222" s="12">
        <v>40</v>
      </c>
      <c r="AP222" s="12">
        <v>40</v>
      </c>
      <c r="AQ222" s="12">
        <v>40</v>
      </c>
      <c r="AR222" s="12">
        <v>40</v>
      </c>
      <c r="AS222" s="12">
        <v>40</v>
      </c>
      <c r="AT222" s="12"/>
      <c r="AU222" s="12"/>
      <c r="AV222" s="12"/>
      <c r="AW222" s="1">
        <v>2</v>
      </c>
      <c r="AX222" s="1">
        <v>2</v>
      </c>
      <c r="AY222" s="1">
        <v>2</v>
      </c>
      <c r="AZ222" s="1">
        <v>2</v>
      </c>
      <c r="BA222" s="1">
        <v>2</v>
      </c>
      <c r="BB222" s="1">
        <v>2</v>
      </c>
      <c r="BC222" s="1">
        <v>2</v>
      </c>
      <c r="BD222" s="1">
        <v>2</v>
      </c>
      <c r="BE222" s="1">
        <v>2</v>
      </c>
      <c r="BF222" s="1">
        <v>2</v>
      </c>
      <c r="BG222" s="1">
        <v>2</v>
      </c>
      <c r="BH222" s="1">
        <v>2</v>
      </c>
      <c r="BI222" s="22"/>
    </row>
    <row r="223" spans="12:61" ht="15.75" customHeight="1" x14ac:dyDescent="0.25">
      <c r="L223" s="1" t="s">
        <v>378</v>
      </c>
      <c r="M223" s="1">
        <v>350</v>
      </c>
      <c r="N223" s="1">
        <v>700000</v>
      </c>
      <c r="O223" s="1">
        <v>1500</v>
      </c>
      <c r="P223" s="1">
        <v>880</v>
      </c>
      <c r="Q223" s="16"/>
      <c r="R223" s="16"/>
      <c r="S223" s="12">
        <v>60</v>
      </c>
      <c r="T223" s="12">
        <v>60</v>
      </c>
      <c r="U223" s="12">
        <v>60</v>
      </c>
      <c r="V223" s="12">
        <v>60</v>
      </c>
      <c r="W223" s="12">
        <v>60</v>
      </c>
      <c r="X223" s="12">
        <v>60</v>
      </c>
      <c r="Y223" s="12">
        <v>60</v>
      </c>
      <c r="Z223" s="12">
        <v>60</v>
      </c>
      <c r="AA223" s="12">
        <v>60</v>
      </c>
      <c r="AB223" s="12">
        <v>60</v>
      </c>
      <c r="AC223" s="12">
        <v>60</v>
      </c>
      <c r="AD223" s="12">
        <v>60</v>
      </c>
      <c r="AE223" s="12"/>
      <c r="AF223" s="12"/>
      <c r="AG223" s="12"/>
      <c r="AH223" s="12">
        <v>40</v>
      </c>
      <c r="AI223" s="12">
        <v>40</v>
      </c>
      <c r="AJ223" s="12">
        <v>40</v>
      </c>
      <c r="AK223" s="12">
        <v>40</v>
      </c>
      <c r="AL223" s="12">
        <v>40</v>
      </c>
      <c r="AM223" s="12">
        <v>40</v>
      </c>
      <c r="AN223" s="12">
        <v>40</v>
      </c>
      <c r="AO223" s="12">
        <v>40</v>
      </c>
      <c r="AP223" s="12">
        <v>40</v>
      </c>
      <c r="AQ223" s="12">
        <v>40</v>
      </c>
      <c r="AR223" s="12">
        <v>40</v>
      </c>
      <c r="AS223" s="12">
        <v>40</v>
      </c>
      <c r="AT223" s="12"/>
      <c r="AU223" s="12"/>
      <c r="AV223" s="12"/>
      <c r="AW223" s="1">
        <v>2</v>
      </c>
      <c r="AX223" s="1">
        <v>2</v>
      </c>
      <c r="AY223" s="1">
        <v>2</v>
      </c>
      <c r="AZ223" s="1">
        <v>2</v>
      </c>
      <c r="BA223" s="1">
        <v>2</v>
      </c>
      <c r="BB223" s="1">
        <v>2</v>
      </c>
      <c r="BC223" s="1">
        <v>2</v>
      </c>
      <c r="BD223" s="1">
        <v>2</v>
      </c>
      <c r="BE223" s="1">
        <v>2</v>
      </c>
      <c r="BF223" s="1">
        <v>2</v>
      </c>
      <c r="BG223" s="1">
        <v>2</v>
      </c>
      <c r="BH223" s="1">
        <v>2</v>
      </c>
      <c r="BI223" s="22"/>
    </row>
    <row r="224" spans="12:61" ht="15.75" customHeight="1" x14ac:dyDescent="0.25">
      <c r="L224" s="1" t="s">
        <v>379</v>
      </c>
      <c r="M224" s="1">
        <v>36</v>
      </c>
      <c r="N224" s="1">
        <f>Table_2[[#This Row],[Pnom]]*2*1000</f>
        <v>72000</v>
      </c>
      <c r="O224" s="1">
        <v>1100</v>
      </c>
      <c r="P224" s="1">
        <v>200</v>
      </c>
      <c r="Q224" s="5">
        <v>216770</v>
      </c>
      <c r="R224" s="5"/>
      <c r="S224" s="1">
        <v>40</v>
      </c>
      <c r="T224" s="1">
        <v>40</v>
      </c>
      <c r="U224" s="1">
        <v>40</v>
      </c>
      <c r="V224" s="1">
        <v>40</v>
      </c>
      <c r="AH224" s="1">
        <v>30</v>
      </c>
      <c r="AI224" s="1">
        <v>30</v>
      </c>
      <c r="AJ224" s="1">
        <v>30</v>
      </c>
      <c r="AK224" s="1">
        <v>30</v>
      </c>
      <c r="AW224" s="1">
        <v>2</v>
      </c>
      <c r="AX224" s="1">
        <v>2</v>
      </c>
      <c r="AY224" s="1">
        <v>2</v>
      </c>
      <c r="AZ224" s="1">
        <v>2</v>
      </c>
    </row>
    <row r="225" spans="12:57" ht="15.75" customHeight="1" x14ac:dyDescent="0.25">
      <c r="L225" s="1" t="s">
        <v>380</v>
      </c>
      <c r="M225" s="1">
        <v>40</v>
      </c>
      <c r="N225" s="1">
        <v>80000</v>
      </c>
      <c r="O225" s="1">
        <v>1100</v>
      </c>
      <c r="P225" s="1">
        <v>200</v>
      </c>
      <c r="Q225" s="16">
        <v>216771</v>
      </c>
      <c r="R225" s="16"/>
      <c r="S225" s="1">
        <v>40</v>
      </c>
      <c r="T225" s="1">
        <v>40</v>
      </c>
      <c r="U225" s="1">
        <v>40</v>
      </c>
      <c r="V225" s="1">
        <v>40</v>
      </c>
      <c r="AH225" s="1">
        <v>30</v>
      </c>
      <c r="AI225" s="1">
        <v>30</v>
      </c>
      <c r="AJ225" s="1">
        <v>30</v>
      </c>
      <c r="AK225" s="1">
        <v>30</v>
      </c>
      <c r="AW225" s="1">
        <v>2</v>
      </c>
      <c r="AX225" s="1">
        <v>2</v>
      </c>
      <c r="AY225" s="1">
        <v>2</v>
      </c>
      <c r="AZ225" s="1">
        <v>2</v>
      </c>
    </row>
    <row r="226" spans="12:57" ht="15.75" customHeight="1" x14ac:dyDescent="0.25">
      <c r="L226" s="1" t="s">
        <v>381</v>
      </c>
      <c r="M226" s="1">
        <v>5</v>
      </c>
      <c r="N226" s="1">
        <f>Table_2[[#This Row],[Pnom]]*1.7*1000</f>
        <v>8500</v>
      </c>
      <c r="O226" s="1">
        <v>600</v>
      </c>
      <c r="P226" s="1">
        <v>50</v>
      </c>
      <c r="Q226" s="5">
        <v>216761</v>
      </c>
      <c r="R226" s="5"/>
      <c r="S226" s="1">
        <v>25</v>
      </c>
      <c r="T226" s="1">
        <v>25</v>
      </c>
      <c r="AH226" s="1">
        <v>20</v>
      </c>
      <c r="AI226" s="1">
        <v>20</v>
      </c>
      <c r="AW226" s="1">
        <v>1</v>
      </c>
      <c r="AX226" s="1">
        <v>1</v>
      </c>
    </row>
    <row r="227" spans="12:57" ht="15.75" customHeight="1" x14ac:dyDescent="0.25">
      <c r="L227" s="1" t="s">
        <v>382</v>
      </c>
      <c r="M227" s="1">
        <v>50</v>
      </c>
      <c r="N227" s="1">
        <f>Table_2[[#This Row],[Pnom]]*2*1000</f>
        <v>100000</v>
      </c>
      <c r="O227" s="1">
        <v>850</v>
      </c>
      <c r="P227" s="1">
        <v>200</v>
      </c>
      <c r="Q227" s="16"/>
      <c r="R227" s="16"/>
      <c r="S227" s="1">
        <v>40</v>
      </c>
      <c r="T227" s="1">
        <v>40</v>
      </c>
      <c r="U227" s="1">
        <v>40</v>
      </c>
      <c r="V227" s="1">
        <v>40</v>
      </c>
      <c r="W227" s="1">
        <v>40</v>
      </c>
      <c r="X227" s="1">
        <v>40</v>
      </c>
      <c r="Y227" s="1">
        <v>40</v>
      </c>
      <c r="Z227" s="1">
        <v>40</v>
      </c>
      <c r="AH227" s="1">
        <v>30</v>
      </c>
      <c r="AI227" s="1">
        <v>30</v>
      </c>
      <c r="AJ227" s="1">
        <v>30</v>
      </c>
      <c r="AK227" s="1">
        <v>30</v>
      </c>
      <c r="AL227" s="1">
        <v>30</v>
      </c>
      <c r="AM227" s="1">
        <v>30</v>
      </c>
      <c r="AN227" s="1">
        <v>30</v>
      </c>
      <c r="AO227" s="1">
        <v>30</v>
      </c>
      <c r="AW227" s="1">
        <v>2</v>
      </c>
      <c r="AX227" s="1">
        <v>2</v>
      </c>
      <c r="AY227" s="1">
        <v>2</v>
      </c>
      <c r="AZ227" s="1">
        <v>2</v>
      </c>
      <c r="BA227" s="1">
        <v>2</v>
      </c>
      <c r="BB227" s="1">
        <v>2</v>
      </c>
      <c r="BC227" s="1">
        <v>2</v>
      </c>
      <c r="BD227" s="1">
        <v>2</v>
      </c>
    </row>
    <row r="228" spans="12:57" ht="15.75" customHeight="1" x14ac:dyDescent="0.25">
      <c r="L228" s="1" t="s">
        <v>383</v>
      </c>
      <c r="M228" s="1">
        <v>6</v>
      </c>
      <c r="N228" s="1">
        <f>Table_2[[#This Row],[Pnom]]*1.7*1000</f>
        <v>10200</v>
      </c>
      <c r="O228" s="1">
        <v>600</v>
      </c>
      <c r="P228" s="1">
        <v>50</v>
      </c>
      <c r="Q228" s="5">
        <v>216762</v>
      </c>
      <c r="R228" s="5" t="s">
        <v>62</v>
      </c>
      <c r="S228" s="1">
        <v>25</v>
      </c>
      <c r="T228" s="1">
        <v>25</v>
      </c>
      <c r="AH228" s="1">
        <v>20</v>
      </c>
      <c r="AI228" s="1">
        <v>20</v>
      </c>
      <c r="AW228" s="1">
        <v>1</v>
      </c>
      <c r="AX228" s="1">
        <v>1</v>
      </c>
    </row>
    <row r="229" spans="12:57" ht="15.75" customHeight="1" x14ac:dyDescent="0.25">
      <c r="L229" s="1" t="s">
        <v>384</v>
      </c>
      <c r="M229" s="1">
        <v>7.5</v>
      </c>
      <c r="N229" s="1">
        <f>Table_2[[#This Row],[Pnom]]*1.7*1000</f>
        <v>12750</v>
      </c>
      <c r="O229" s="1">
        <v>600</v>
      </c>
      <c r="P229" s="1">
        <v>50</v>
      </c>
      <c r="Q229" s="16">
        <v>216763</v>
      </c>
      <c r="R229" s="16" t="s">
        <v>62</v>
      </c>
      <c r="S229" s="1">
        <v>25</v>
      </c>
      <c r="T229" s="1">
        <v>25</v>
      </c>
      <c r="U229" s="1">
        <v>25</v>
      </c>
      <c r="AH229" s="1">
        <v>20</v>
      </c>
      <c r="AI229" s="1">
        <v>20</v>
      </c>
      <c r="AJ229" s="1">
        <v>20</v>
      </c>
      <c r="AW229" s="1">
        <v>1</v>
      </c>
      <c r="AX229" s="1">
        <v>1</v>
      </c>
      <c r="AY229" s="1">
        <v>1</v>
      </c>
    </row>
    <row r="230" spans="12:57" ht="15.75" customHeight="1" x14ac:dyDescent="0.25">
      <c r="L230" s="1" t="s">
        <v>385</v>
      </c>
      <c r="M230" s="1">
        <v>75</v>
      </c>
      <c r="N230" s="1">
        <v>150000</v>
      </c>
      <c r="O230" s="1">
        <v>1100</v>
      </c>
      <c r="P230" s="1">
        <v>250</v>
      </c>
      <c r="Q230" s="5">
        <v>107419</v>
      </c>
      <c r="R230" s="5"/>
      <c r="S230" s="15">
        <v>40</v>
      </c>
      <c r="T230" s="12">
        <v>40</v>
      </c>
      <c r="U230" s="12">
        <v>40</v>
      </c>
      <c r="V230" s="12">
        <v>40</v>
      </c>
      <c r="W230" s="12">
        <v>40</v>
      </c>
      <c r="X230" s="12">
        <v>40</v>
      </c>
      <c r="Y230" s="12">
        <v>40</v>
      </c>
      <c r="Z230" s="12">
        <v>40</v>
      </c>
      <c r="AA230" s="12">
        <v>40</v>
      </c>
      <c r="AB230" s="12"/>
      <c r="AC230" s="12"/>
      <c r="AD230" s="12"/>
      <c r="AE230" s="12"/>
      <c r="AF230" s="12"/>
      <c r="AG230" s="13"/>
      <c r="AH230" s="12">
        <v>26</v>
      </c>
      <c r="AI230" s="12">
        <v>26</v>
      </c>
      <c r="AJ230" s="12">
        <v>26</v>
      </c>
      <c r="AK230" s="12">
        <v>26</v>
      </c>
      <c r="AL230" s="12">
        <v>26</v>
      </c>
      <c r="AM230" s="12">
        <v>26</v>
      </c>
      <c r="AN230" s="12">
        <v>26</v>
      </c>
      <c r="AO230" s="12">
        <v>26</v>
      </c>
      <c r="AP230" s="12">
        <v>26</v>
      </c>
      <c r="AQ230" s="12"/>
      <c r="AR230" s="12"/>
      <c r="AS230" s="12"/>
      <c r="AT230" s="12"/>
      <c r="AU230" s="12"/>
      <c r="AV230" s="13"/>
      <c r="AW230" s="1">
        <v>2</v>
      </c>
      <c r="AX230" s="1">
        <v>2</v>
      </c>
      <c r="AY230" s="1">
        <v>2</v>
      </c>
      <c r="AZ230" s="1">
        <v>2</v>
      </c>
      <c r="BA230" s="1">
        <v>2</v>
      </c>
      <c r="BB230" s="1">
        <v>2</v>
      </c>
      <c r="BC230" s="1">
        <v>2</v>
      </c>
      <c r="BD230" s="1">
        <v>2</v>
      </c>
      <c r="BE230" s="1">
        <v>2</v>
      </c>
    </row>
    <row r="231" spans="12:57" ht="15.75" customHeight="1" x14ac:dyDescent="0.25">
      <c r="L231" s="1" t="s">
        <v>386</v>
      </c>
      <c r="M231" s="1">
        <v>75</v>
      </c>
      <c r="N231" s="1">
        <v>150000</v>
      </c>
      <c r="O231" s="1">
        <v>1100</v>
      </c>
      <c r="P231" s="1">
        <v>200</v>
      </c>
      <c r="Q231" s="16"/>
      <c r="R231" s="16"/>
      <c r="S231" s="1">
        <v>40</v>
      </c>
      <c r="T231" s="1">
        <v>40</v>
      </c>
      <c r="U231" s="1">
        <v>40</v>
      </c>
      <c r="V231" s="1">
        <v>40</v>
      </c>
      <c r="W231" s="1">
        <v>40</v>
      </c>
      <c r="X231" s="1">
        <v>40</v>
      </c>
      <c r="Y231" s="1">
        <v>40</v>
      </c>
      <c r="Z231" s="1">
        <v>40</v>
      </c>
      <c r="AH231" s="1">
        <v>30</v>
      </c>
      <c r="AI231" s="1">
        <v>30</v>
      </c>
      <c r="AJ231" s="1">
        <v>30</v>
      </c>
      <c r="AK231" s="1">
        <v>30</v>
      </c>
      <c r="AL231" s="1">
        <v>30</v>
      </c>
      <c r="AM231" s="1">
        <v>30</v>
      </c>
      <c r="AN231" s="1">
        <v>30</v>
      </c>
      <c r="AO231" s="1">
        <v>30</v>
      </c>
      <c r="AW231" s="1">
        <v>2</v>
      </c>
      <c r="AX231" s="1">
        <v>2</v>
      </c>
      <c r="AY231" s="1">
        <v>2</v>
      </c>
      <c r="AZ231" s="1">
        <v>2</v>
      </c>
      <c r="BA231" s="1">
        <v>2</v>
      </c>
      <c r="BB231" s="1">
        <v>2</v>
      </c>
      <c r="BC231" s="1">
        <v>2</v>
      </c>
      <c r="BD231" s="1">
        <v>2</v>
      </c>
    </row>
    <row r="232" spans="12:57" ht="15.75" customHeight="1" x14ac:dyDescent="0.25">
      <c r="L232" s="1" t="s">
        <v>414</v>
      </c>
      <c r="M232" s="1">
        <v>40</v>
      </c>
      <c r="N232" s="1">
        <v>80000</v>
      </c>
      <c r="O232" s="1">
        <v>1100</v>
      </c>
      <c r="P232" s="1">
        <v>160</v>
      </c>
      <c r="Q232" s="16">
        <v>206201</v>
      </c>
      <c r="R232" s="16"/>
      <c r="S232" s="1">
        <v>40</v>
      </c>
      <c r="T232" s="1">
        <v>40</v>
      </c>
      <c r="U232" s="1">
        <v>40</v>
      </c>
      <c r="V232" s="1">
        <v>40</v>
      </c>
      <c r="AH232" s="1">
        <v>30</v>
      </c>
      <c r="AI232" s="1">
        <v>30</v>
      </c>
      <c r="AJ232" s="1">
        <v>30</v>
      </c>
      <c r="AK232" s="1">
        <v>30</v>
      </c>
      <c r="AW232" s="1">
        <v>2</v>
      </c>
      <c r="AX232" s="1">
        <v>2</v>
      </c>
      <c r="AY232" s="1">
        <v>2</v>
      </c>
      <c r="AZ232" s="1">
        <v>2</v>
      </c>
    </row>
    <row r="233" spans="12:57" ht="15.75" customHeight="1" x14ac:dyDescent="0.25">
      <c r="L233" s="1" t="s">
        <v>415</v>
      </c>
      <c r="M233" s="1">
        <v>50</v>
      </c>
      <c r="N233" s="1">
        <v>100000</v>
      </c>
      <c r="O233" s="1">
        <v>1100</v>
      </c>
      <c r="P233" s="1">
        <v>180</v>
      </c>
      <c r="Q233" s="5" t="s">
        <v>419</v>
      </c>
      <c r="R233" s="5" t="s">
        <v>62</v>
      </c>
      <c r="S233" s="1">
        <v>40</v>
      </c>
      <c r="T233" s="1">
        <v>40</v>
      </c>
      <c r="U233" s="1">
        <v>40</v>
      </c>
      <c r="V233" s="1">
        <v>40</v>
      </c>
      <c r="AH233" s="1">
        <v>30</v>
      </c>
      <c r="AI233" s="1">
        <v>30</v>
      </c>
      <c r="AJ233" s="1">
        <v>30</v>
      </c>
      <c r="AK233" s="1">
        <v>30</v>
      </c>
      <c r="AW233" s="1">
        <v>2</v>
      </c>
      <c r="AX233" s="1">
        <v>2</v>
      </c>
      <c r="AY233" s="1">
        <v>2</v>
      </c>
      <c r="AZ233" s="1">
        <v>2</v>
      </c>
    </row>
    <row r="234" spans="12:57" ht="15.75" customHeight="1" x14ac:dyDescent="0.25">
      <c r="L234" s="1" t="s">
        <v>416</v>
      </c>
      <c r="M234" s="1">
        <v>100</v>
      </c>
      <c r="N234" s="1">
        <v>200000</v>
      </c>
      <c r="O234" s="1">
        <v>1100</v>
      </c>
      <c r="P234" s="1">
        <v>200</v>
      </c>
      <c r="Q234" s="16">
        <v>206210</v>
      </c>
      <c r="R234" s="8" t="s">
        <v>62</v>
      </c>
      <c r="S234" s="1">
        <v>37.5</v>
      </c>
      <c r="T234" s="1">
        <v>37.5</v>
      </c>
      <c r="U234" s="1">
        <v>37.5</v>
      </c>
      <c r="V234" s="1">
        <v>37.5</v>
      </c>
      <c r="W234" s="1">
        <v>37.5</v>
      </c>
      <c r="X234" s="1">
        <v>37.5</v>
      </c>
      <c r="Y234" s="1">
        <v>37.5</v>
      </c>
      <c r="Z234" s="1">
        <v>37.5</v>
      </c>
      <c r="AA234" s="1">
        <v>37.5</v>
      </c>
      <c r="AH234" s="1">
        <v>30</v>
      </c>
      <c r="AI234" s="1">
        <v>30</v>
      </c>
      <c r="AJ234" s="1">
        <v>30</v>
      </c>
      <c r="AK234" s="1">
        <v>30</v>
      </c>
      <c r="AL234" s="1">
        <v>30</v>
      </c>
      <c r="AM234" s="1">
        <v>30</v>
      </c>
      <c r="AN234" s="1">
        <v>30</v>
      </c>
      <c r="AO234" s="1">
        <v>30</v>
      </c>
      <c r="AP234" s="1">
        <v>30</v>
      </c>
      <c r="AW234" s="1">
        <v>2</v>
      </c>
      <c r="AX234" s="1">
        <v>2</v>
      </c>
      <c r="AY234" s="1">
        <v>2</v>
      </c>
      <c r="AZ234" s="1">
        <v>2</v>
      </c>
      <c r="BA234" s="1">
        <v>2</v>
      </c>
      <c r="BB234" s="1">
        <v>2</v>
      </c>
      <c r="BC234" s="1">
        <v>2</v>
      </c>
      <c r="BD234" s="1">
        <v>2</v>
      </c>
      <c r="BE234" s="1">
        <v>2</v>
      </c>
    </row>
    <row r="235" spans="12:57" ht="15.75" customHeight="1" x14ac:dyDescent="0.25">
      <c r="L235" s="1" t="s">
        <v>417</v>
      </c>
      <c r="M235" s="1">
        <v>50</v>
      </c>
      <c r="N235" s="1">
        <v>75000</v>
      </c>
      <c r="O235" s="1">
        <v>1100</v>
      </c>
      <c r="P235" s="1">
        <v>150</v>
      </c>
      <c r="Q235" s="5">
        <v>206214</v>
      </c>
      <c r="R235" s="5"/>
      <c r="S235" s="1">
        <v>50</v>
      </c>
      <c r="T235" s="1">
        <v>50</v>
      </c>
      <c r="U235" s="1">
        <v>50</v>
      </c>
      <c r="V235" s="1">
        <v>50</v>
      </c>
      <c r="AH235" s="1">
        <v>40</v>
      </c>
      <c r="AI235" s="1">
        <v>40</v>
      </c>
      <c r="AJ235" s="1">
        <v>40</v>
      </c>
      <c r="AK235" s="1">
        <v>40</v>
      </c>
      <c r="AW235" s="1">
        <v>2</v>
      </c>
      <c r="AX235" s="1">
        <v>2</v>
      </c>
      <c r="AY235" s="1">
        <v>2</v>
      </c>
      <c r="AZ235" s="1">
        <v>2</v>
      </c>
    </row>
    <row r="236" spans="12:57" ht="15.75" customHeight="1" x14ac:dyDescent="0.25">
      <c r="L236" s="1" t="s">
        <v>418</v>
      </c>
      <c r="M236" s="1">
        <v>40</v>
      </c>
      <c r="N236" s="1">
        <v>80000</v>
      </c>
      <c r="O236" s="1">
        <v>1100</v>
      </c>
      <c r="P236" s="1">
        <v>150</v>
      </c>
      <c r="Q236" s="16" t="s">
        <v>420</v>
      </c>
      <c r="R236" s="16"/>
      <c r="S236" s="1">
        <v>40</v>
      </c>
      <c r="T236" s="1">
        <v>40</v>
      </c>
      <c r="U236" s="1">
        <v>40</v>
      </c>
      <c r="V236" s="1">
        <v>40</v>
      </c>
      <c r="AH236" s="1">
        <v>30</v>
      </c>
      <c r="AI236" s="1">
        <v>30</v>
      </c>
      <c r="AJ236" s="1">
        <v>30</v>
      </c>
      <c r="AK236" s="1">
        <v>30</v>
      </c>
      <c r="AW236" s="1">
        <v>2</v>
      </c>
      <c r="AX236" s="1">
        <v>2</v>
      </c>
      <c r="AY236" s="1">
        <v>2</v>
      </c>
      <c r="AZ236" s="1">
        <v>2</v>
      </c>
    </row>
    <row r="237" spans="12:57" ht="15.75" customHeight="1" x14ac:dyDescent="0.25">
      <c r="Q237" s="5"/>
      <c r="R237" s="5"/>
    </row>
    <row r="238" spans="12:57" ht="15.75" customHeight="1" x14ac:dyDescent="0.25">
      <c r="Q238" s="16"/>
      <c r="R238" s="16"/>
    </row>
    <row r="239" spans="12:57" ht="15.75" customHeight="1" x14ac:dyDescent="0.25">
      <c r="Q239" s="5"/>
      <c r="R239" s="5"/>
    </row>
    <row r="240" spans="12:57" ht="15.75" customHeight="1" x14ac:dyDescent="0.25">
      <c r="Q240" s="16"/>
      <c r="R240" s="16"/>
    </row>
    <row r="241" spans="17:18" ht="15.75" customHeight="1" x14ac:dyDescent="0.25">
      <c r="Q241" s="5"/>
      <c r="R241" s="5"/>
    </row>
    <row r="242" spans="17:18" ht="15.75" customHeight="1" x14ac:dyDescent="0.25">
      <c r="Q242" s="16"/>
      <c r="R242" s="16"/>
    </row>
    <row r="243" spans="17:18" ht="15.75" customHeight="1" x14ac:dyDescent="0.25">
      <c r="Q243" s="5"/>
      <c r="R243" s="5"/>
    </row>
    <row r="244" spans="17:18" ht="15.75" customHeight="1" x14ac:dyDescent="0.25">
      <c r="Q244" s="16"/>
      <c r="R244" s="16"/>
    </row>
    <row r="245" spans="17:18" ht="15.75" customHeight="1" x14ac:dyDescent="0.25">
      <c r="Q245" s="5"/>
      <c r="R245" s="5"/>
    </row>
    <row r="246" spans="17:18" ht="15.75" customHeight="1" x14ac:dyDescent="0.25">
      <c r="Q246" s="16"/>
      <c r="R246" s="16"/>
    </row>
    <row r="247" spans="17:18" ht="15.75" customHeight="1" x14ac:dyDescent="0.25">
      <c r="Q247" s="5"/>
      <c r="R247" s="5"/>
    </row>
    <row r="248" spans="17:18" ht="15.75" customHeight="1" x14ac:dyDescent="0.25">
      <c r="Q248" s="16"/>
      <c r="R248" s="16"/>
    </row>
    <row r="249" spans="17:18" ht="15.75" customHeight="1" x14ac:dyDescent="0.25">
      <c r="Q249" s="5"/>
      <c r="R249" s="5"/>
    </row>
    <row r="250" spans="17:18" ht="15.75" customHeight="1" x14ac:dyDescent="0.25">
      <c r="Q250" s="16"/>
      <c r="R250" s="16"/>
    </row>
    <row r="251" spans="17:18" ht="15.75" customHeight="1" x14ac:dyDescent="0.25">
      <c r="Q251" s="5"/>
      <c r="R251" s="5"/>
    </row>
    <row r="252" spans="17:18" ht="15.75" customHeight="1" x14ac:dyDescent="0.25">
      <c r="Q252" s="16"/>
      <c r="R252" s="16"/>
    </row>
    <row r="253" spans="17:18" ht="15.75" customHeight="1" x14ac:dyDescent="0.25">
      <c r="Q253" s="5"/>
      <c r="R253" s="5"/>
    </row>
    <row r="254" spans="17:18" ht="15.75" customHeight="1" x14ac:dyDescent="0.25">
      <c r="Q254" s="16"/>
      <c r="R254" s="16"/>
    </row>
    <row r="255" spans="17:18" ht="15.75" customHeight="1" x14ac:dyDescent="0.25">
      <c r="Q255" s="5"/>
      <c r="R255" s="5"/>
    </row>
    <row r="256" spans="17:18" ht="15.75" customHeight="1" x14ac:dyDescent="0.25">
      <c r="Q256" s="16"/>
      <c r="R256" s="16"/>
    </row>
    <row r="257" spans="17:18" ht="15.75" customHeight="1" x14ac:dyDescent="0.25">
      <c r="Q257" s="5"/>
      <c r="R257" s="5"/>
    </row>
    <row r="258" spans="17:18" ht="15.75" customHeight="1" x14ac:dyDescent="0.25">
      <c r="Q258" s="16"/>
      <c r="R258" s="16"/>
    </row>
    <row r="259" spans="17:18" ht="15.75" customHeight="1" x14ac:dyDescent="0.25">
      <c r="Q259" s="5"/>
      <c r="R259" s="5"/>
    </row>
    <row r="260" spans="17:18" ht="15.75" customHeight="1" x14ac:dyDescent="0.25">
      <c r="Q260" s="16"/>
      <c r="R260" s="16"/>
    </row>
    <row r="261" spans="17:18" ht="15.75" customHeight="1" x14ac:dyDescent="0.25">
      <c r="Q261" s="5"/>
      <c r="R261" s="5"/>
    </row>
    <row r="262" spans="17:18" ht="15.75" customHeight="1" x14ac:dyDescent="0.25">
      <c r="Q262" s="16"/>
      <c r="R262" s="16"/>
    </row>
    <row r="263" spans="17:18" ht="15.75" customHeight="1" x14ac:dyDescent="0.25">
      <c r="Q263" s="5"/>
      <c r="R263" s="5"/>
    </row>
    <row r="264" spans="17:18" ht="15.75" customHeight="1" x14ac:dyDescent="0.25">
      <c r="Q264" s="16"/>
      <c r="R264" s="16"/>
    </row>
    <row r="265" spans="17:18" ht="15.75" customHeight="1" x14ac:dyDescent="0.25">
      <c r="Q265" s="5"/>
      <c r="R265" s="5"/>
    </row>
    <row r="266" spans="17:18" ht="15.75" customHeight="1" x14ac:dyDescent="0.25">
      <c r="Q266" s="16"/>
      <c r="R266" s="16"/>
    </row>
    <row r="267" spans="17:18" ht="15.75" customHeight="1" x14ac:dyDescent="0.25">
      <c r="Q267" s="5"/>
      <c r="R267" s="5"/>
    </row>
    <row r="268" spans="17:18" ht="15.75" customHeight="1" x14ac:dyDescent="0.25">
      <c r="Q268" s="16"/>
      <c r="R268" s="16"/>
    </row>
    <row r="269" spans="17:18" ht="15.75" customHeight="1" x14ac:dyDescent="0.25">
      <c r="Q269" s="5"/>
      <c r="R269" s="5"/>
    </row>
    <row r="270" spans="17:18" ht="15.75" customHeight="1" x14ac:dyDescent="0.25">
      <c r="Q270" s="16"/>
      <c r="R270" s="16"/>
    </row>
    <row r="271" spans="17:18" ht="15.75" customHeight="1" x14ac:dyDescent="0.25">
      <c r="Q271" s="5"/>
      <c r="R271" s="5"/>
    </row>
    <row r="272" spans="17:18" ht="15.75" customHeight="1" x14ac:dyDescent="0.25">
      <c r="Q272" s="16"/>
      <c r="R272" s="16"/>
    </row>
    <row r="273" spans="17:18" ht="15.75" customHeight="1" x14ac:dyDescent="0.25">
      <c r="Q273" s="5"/>
      <c r="R273" s="5"/>
    </row>
    <row r="274" spans="17:18" ht="15.75" customHeight="1" x14ac:dyDescent="0.25">
      <c r="Q274" s="16"/>
      <c r="R274" s="16"/>
    </row>
    <row r="275" spans="17:18" ht="15.75" customHeight="1" x14ac:dyDescent="0.25">
      <c r="Q275" s="5"/>
      <c r="R275" s="5"/>
    </row>
    <row r="276" spans="17:18" ht="15.75" customHeight="1" x14ac:dyDescent="0.25">
      <c r="Q276" s="16"/>
      <c r="R276" s="16"/>
    </row>
    <row r="277" spans="17:18" ht="15.75" customHeight="1" x14ac:dyDescent="0.25">
      <c r="Q277" s="5"/>
      <c r="R277" s="5"/>
    </row>
    <row r="278" spans="17:18" ht="15.75" customHeight="1" x14ac:dyDescent="0.25">
      <c r="Q278" s="16"/>
      <c r="R278" s="16"/>
    </row>
    <row r="279" spans="17:18" ht="15.75" customHeight="1" x14ac:dyDescent="0.25">
      <c r="Q279" s="5"/>
      <c r="R279" s="5"/>
    </row>
    <row r="280" spans="17:18" ht="15.75" customHeight="1" x14ac:dyDescent="0.25">
      <c r="Q280" s="16"/>
      <c r="R280" s="16"/>
    </row>
    <row r="281" spans="17:18" ht="15.75" customHeight="1" x14ac:dyDescent="0.25">
      <c r="Q281" s="5"/>
      <c r="R281" s="5"/>
    </row>
    <row r="282" spans="17:18" ht="15.75" customHeight="1" x14ac:dyDescent="0.25">
      <c r="Q282" s="16"/>
      <c r="R282" s="16"/>
    </row>
    <row r="283" spans="17:18" ht="15.75" customHeight="1" x14ac:dyDescent="0.25">
      <c r="Q283" s="5"/>
      <c r="R283" s="5"/>
    </row>
    <row r="284" spans="17:18" ht="15.75" customHeight="1" x14ac:dyDescent="0.25">
      <c r="Q284" s="16"/>
      <c r="R284" s="16"/>
    </row>
    <row r="285" spans="17:18" ht="15.75" customHeight="1" x14ac:dyDescent="0.25">
      <c r="Q285" s="5"/>
      <c r="R285" s="5"/>
    </row>
    <row r="286" spans="17:18" ht="15.75" customHeight="1" x14ac:dyDescent="0.25">
      <c r="Q286" s="16"/>
      <c r="R286" s="16"/>
    </row>
    <row r="287" spans="17:18" ht="15.75" customHeight="1" x14ac:dyDescent="0.25">
      <c r="Q287" s="5"/>
      <c r="R287" s="5"/>
    </row>
    <row r="288" spans="17:18" ht="15.75" customHeight="1" x14ac:dyDescent="0.25">
      <c r="Q288" s="16"/>
      <c r="R288" s="16"/>
    </row>
    <row r="289" spans="17:18" ht="15.75" customHeight="1" x14ac:dyDescent="0.25">
      <c r="Q289" s="5"/>
      <c r="R289" s="5"/>
    </row>
    <row r="290" spans="17:18" ht="15.75" customHeight="1" x14ac:dyDescent="0.25">
      <c r="Q290" s="16"/>
      <c r="R290" s="16"/>
    </row>
    <row r="291" spans="17:18" ht="15.75" customHeight="1" x14ac:dyDescent="0.25">
      <c r="Q291" s="5"/>
      <c r="R291" s="5"/>
    </row>
    <row r="292" spans="17:18" ht="15.75" customHeight="1" x14ac:dyDescent="0.25">
      <c r="Q292" s="16"/>
      <c r="R292" s="16"/>
    </row>
    <row r="293" spans="17:18" ht="15.75" customHeight="1" x14ac:dyDescent="0.25">
      <c r="Q293" s="5"/>
      <c r="R293" s="5"/>
    </row>
    <row r="294" spans="17:18" ht="15.75" customHeight="1" x14ac:dyDescent="0.25">
      <c r="Q294" s="16"/>
      <c r="R294" s="16"/>
    </row>
    <row r="295" spans="17:18" ht="15.75" customHeight="1" x14ac:dyDescent="0.25">
      <c r="Q295" s="5"/>
      <c r="R295" s="5"/>
    </row>
    <row r="296" spans="17:18" ht="15.75" customHeight="1" x14ac:dyDescent="0.25"/>
    <row r="297" spans="17:18" ht="15.75" customHeight="1" x14ac:dyDescent="0.25"/>
    <row r="298" spans="17:18" ht="15.75" customHeight="1" x14ac:dyDescent="0.25"/>
    <row r="299" spans="17:18" ht="15.75" customHeight="1" x14ac:dyDescent="0.25"/>
    <row r="300" spans="17:18" ht="15.75" customHeight="1" x14ac:dyDescent="0.25"/>
    <row r="301" spans="17:18" ht="15.75" customHeight="1" x14ac:dyDescent="0.25"/>
    <row r="302" spans="17:18" ht="15.75" customHeight="1" x14ac:dyDescent="0.25"/>
    <row r="303" spans="17:18" ht="15.75" customHeight="1" x14ac:dyDescent="0.25"/>
    <row r="304" spans="17:1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3:G20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20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8:U88">
    <cfRule type="containsBlanks" dxfId="2" priority="32">
      <formula>LEN(TRIM(BM88))=0</formula>
    </cfRule>
  </conditionalFormatting>
  <conditionalFormatting sqref="S3:AG239">
    <cfRule type="containsBlanks" dxfId="1" priority="1">
      <formula>LEN(TRIM(BM3))=0</formula>
    </cfRule>
  </conditionalFormatting>
  <conditionalFormatting sqref="AH3:AV239">
    <cfRule type="containsBlanks" dxfId="0" priority="2">
      <formula>LEN(TRIM(CB3))=0</formula>
    </cfRule>
  </conditionalFormatting>
  <pageMargins left="0.511811024" right="0.511811024" top="0.78740157500000008" bottom="0.78740157500000008" header="0" footer="0"/>
  <pageSetup paperSize="9" orientation="portrait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Feitosa Farias</dc:creator>
  <cp:lastModifiedBy>Engenharia Sou Energy</cp:lastModifiedBy>
  <cp:revision>7</cp:revision>
  <dcterms:created xsi:type="dcterms:W3CDTF">2021-05-08T15:24:55Z</dcterms:created>
  <dcterms:modified xsi:type="dcterms:W3CDTF">2026-10-13T18:21:20Z</dcterms:modified>
</cp:coreProperties>
</file>