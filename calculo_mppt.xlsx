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nzo.ferreira\Desktop\dimensionador-fotovoltaico-sigiloso\"/>
    </mc:Choice>
  </mc:AlternateContent>
  <xr:revisionPtr revIDLastSave="0" documentId="13_ncr:1_{0F38EAEA-0749-4E04-9B61-21F7A2C9C3D0}" xr6:coauthVersionLast="47" xr6:coauthVersionMax="47" xr10:uidLastSave="{00000000-0000-0000-0000-000000000000}"/>
  <bookViews>
    <workbookView xWindow="20370" yWindow="-4695" windowWidth="29040" windowHeight="15840" xr2:uid="{00000000-000D-0000-FFFF-FFFF00000000}"/>
  </bookViews>
  <sheets>
    <sheet name="MPPT" sheetId="1" r:id="rId1"/>
  </sheets>
  <definedNames>
    <definedName name="OpenSolver_ChosenSolver" localSheetId="0">CBC</definedName>
    <definedName name="OpenSolver_DualsNewSheet" localSheetId="0">0</definedName>
    <definedName name="OpenSolver_LinearityCheck" localSheetId="0">1</definedName>
    <definedName name="OpenSolver_UpdateSensitivity" localSheetId="0">1</definedName>
    <definedName name="solver_adj" localSheetId="0">MPPT!$J$4:$J$63,MPPT!$M$4:$M$63,MPPT!$P$4:$P$63,MPPT!$S$4:$S$63,MPPT!$V$4:$V$63,MPPT!$Y$4:$Y$63,MPPT!$AB$4:$AB$63,MPPT!$AE$4:$AE$63,MPPT!$AH$4:$AH$63,MPPT!$AK$4:$AK$63,MPPT!$AN$4:$AN$63,MPPT!$AQ$4:$AQ$63,MPPT!$AT$4:$AT$63,MPPT!$AW$4:$AW$63,MPPT!$AZ$4:$AZ$63</definedName>
    <definedName name="solver_cvg" localSheetId="0">0.0001</definedName>
    <definedName name="solver_drv" localSheetId="0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>MPPT!$AK$4:$AK$63</definedName>
    <definedName name="solver_lhs10" localSheetId="0">MPPT!$J$65:$AZ$65</definedName>
    <definedName name="solver_lhs11" localSheetId="0">MPPT!$J$4:$J$63</definedName>
    <definedName name="solver_lhs12" localSheetId="0">MPPT!$M$4:$M$63</definedName>
    <definedName name="solver_lhs13" localSheetId="0">MPPT!$AN$4:$AN$63</definedName>
    <definedName name="solver_lhs14" localSheetId="0">MPPT!$AQ$4:$AQ$63</definedName>
    <definedName name="solver_lhs15" localSheetId="0">MPPT!$AT$4:$AT$63</definedName>
    <definedName name="solver_lhs16" localSheetId="0">MPPT!$AW$4:$AW$63</definedName>
    <definedName name="solver_lhs17" localSheetId="0">MPPT!$AZ$4:$AZ$63</definedName>
    <definedName name="solver_lhs2" localSheetId="0">MPPT!$P$4:$P$63</definedName>
    <definedName name="solver_lhs3" localSheetId="0">MPPT!$BA$65</definedName>
    <definedName name="solver_lhs4" localSheetId="0">MPPT!$AH$4:$AH$63</definedName>
    <definedName name="solver_lhs5" localSheetId="0">MPPT!$AB$4:$AB$63</definedName>
    <definedName name="solver_lhs6" localSheetId="0">MPPT!$AE$4:$AE$63</definedName>
    <definedName name="solver_lhs7" localSheetId="0">MPPT!$S$4:$S$63</definedName>
    <definedName name="solver_lhs8" localSheetId="0">MPPT!$Y$4:$Y$63</definedName>
    <definedName name="solver_lhs9" localSheetId="0">MPPT!$V$4:$V$63</definedName>
    <definedName name="solver_mip" localSheetId="0">2147483647</definedName>
    <definedName name="solver_mni" localSheetId="0">30</definedName>
    <definedName name="solver_mrt" localSheetId="0">0.075</definedName>
    <definedName name="solver_msl" localSheetId="0">2</definedName>
    <definedName name="solver_neg" localSheetId="0" hidden="1">1</definedName>
    <definedName name="solver_nod" localSheetId="0">2147483647</definedName>
    <definedName name="solver_num" localSheetId="0">17</definedName>
    <definedName name="solver_nwt" localSheetId="0" hidden="1">1</definedName>
    <definedName name="solver_opt" localSheetId="0">MPPT!$BA$65</definedName>
    <definedName name="solver_pre" localSheetId="0" hidden="1">1</definedName>
    <definedName name="solver_rbv" localSheetId="0">1</definedName>
    <definedName name="solver_rel1" localSheetId="0">5</definedName>
    <definedName name="solver_rel10" localSheetId="0">1</definedName>
    <definedName name="solver_rel11" localSheetId="0">5</definedName>
    <definedName name="solver_rel12" localSheetId="0">5</definedName>
    <definedName name="solver_rel13" localSheetId="0">5</definedName>
    <definedName name="solver_rel14" localSheetId="0">5</definedName>
    <definedName name="solver_rel15" localSheetId="0">5</definedName>
    <definedName name="solver_rel16" localSheetId="0">5</definedName>
    <definedName name="solver_rel17" localSheetId="0">5</definedName>
    <definedName name="solver_rel2" localSheetId="0">5</definedName>
    <definedName name="solver_rel3" localSheetId="0">1</definedName>
    <definedName name="solver_rel4" localSheetId="0">5</definedName>
    <definedName name="solver_rel5" localSheetId="0">5</definedName>
    <definedName name="solver_rel6" localSheetId="0">5</definedName>
    <definedName name="solver_rel7" localSheetId="0">5</definedName>
    <definedName name="solver_rel8" localSheetId="0">5</definedName>
    <definedName name="solver_rel9" localSheetId="0">5</definedName>
    <definedName name="solver_rhs1" localSheetId="0">binary</definedName>
    <definedName name="solver_rhs10" localSheetId="0">MPPT!$J$66:$AZ$66</definedName>
    <definedName name="solver_rhs11" localSheetId="0">binary</definedName>
    <definedName name="solver_rhs12" localSheetId="0">binary</definedName>
    <definedName name="solver_rhs13" localSheetId="0">binary</definedName>
    <definedName name="solver_rhs14" localSheetId="0">binary</definedName>
    <definedName name="solver_rhs15" localSheetId="0">binary</definedName>
    <definedName name="solver_rhs16" localSheetId="0">binary</definedName>
    <definedName name="solver_rhs17" localSheetId="0">binary</definedName>
    <definedName name="solver_rhs2" localSheetId="0">binary</definedName>
    <definedName name="solver_rhs3" localSheetId="0">MPPT!$BA$66</definedName>
    <definedName name="solver_rhs4" localSheetId="0">binary</definedName>
    <definedName name="solver_rhs5" localSheetId="0">binary</definedName>
    <definedName name="solver_rhs6" localSheetId="0">binary</definedName>
    <definedName name="solver_rhs7" localSheetId="0">binary</definedName>
    <definedName name="solver_rhs8" localSheetId="0">binary</definedName>
    <definedName name="solver_rhs9" localSheetId="0">binary</definedName>
    <definedName name="solver_rlx" localSheetId="0">2</definedName>
    <definedName name="solver_rsd" localSheetId="0">0</definedName>
    <definedName name="solver_scl" localSheetId="0" hidden="1">2</definedName>
    <definedName name="solver_sho" localSheetId="0">2</definedName>
    <definedName name="solver_ssz" localSheetId="0">100</definedName>
    <definedName name="solver_tim" localSheetId="0" hidden="1">2147483647</definedName>
    <definedName name="solver_tol" localSheetId="0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</workbook>
</file>

<file path=xl/calcChain.xml><?xml version="1.0" encoding="utf-8"?>
<calcChain xmlns="http://schemas.openxmlformats.org/spreadsheetml/2006/main">
  <c r="BO228" i="1" l="1"/>
  <c r="BO227" i="1"/>
  <c r="BO226" i="1"/>
  <c r="BO225" i="1"/>
  <c r="BO223" i="1"/>
  <c r="BO220" i="1"/>
  <c r="BO219" i="1"/>
  <c r="BO216" i="1"/>
  <c r="BO215" i="1"/>
  <c r="BO214" i="1"/>
  <c r="BO213" i="1"/>
  <c r="BO211" i="1"/>
  <c r="BO208" i="1"/>
  <c r="BO207" i="1"/>
  <c r="BO206" i="1"/>
  <c r="BO204" i="1"/>
  <c r="BO202" i="1"/>
  <c r="BO201" i="1"/>
  <c r="BO200" i="1"/>
  <c r="BO198" i="1"/>
  <c r="BO196" i="1"/>
  <c r="BO193" i="1"/>
  <c r="BO192" i="1"/>
  <c r="BP191" i="1"/>
  <c r="BO191" i="1"/>
  <c r="BO190" i="1"/>
  <c r="BO189" i="1"/>
  <c r="BO188" i="1"/>
  <c r="BO187" i="1"/>
  <c r="BO186" i="1"/>
  <c r="BO185" i="1"/>
  <c r="BO184" i="1"/>
  <c r="BO183" i="1"/>
  <c r="BO182" i="1"/>
  <c r="BO180" i="1"/>
  <c r="BO179" i="1"/>
  <c r="BO178" i="1"/>
  <c r="BO176" i="1"/>
  <c r="BO175" i="1"/>
  <c r="BO174" i="1"/>
  <c r="BO173" i="1"/>
  <c r="BO172" i="1"/>
  <c r="BO158" i="1"/>
  <c r="BO157" i="1"/>
  <c r="BO156" i="1"/>
  <c r="BO155" i="1"/>
  <c r="BO153" i="1"/>
  <c r="BO145" i="1"/>
  <c r="BO109" i="1"/>
  <c r="BO104" i="1"/>
  <c r="BO97" i="1"/>
  <c r="C97" i="1"/>
  <c r="C96" i="1"/>
  <c r="C95" i="1"/>
  <c r="BO94" i="1"/>
  <c r="C94" i="1"/>
  <c r="C93" i="1"/>
  <c r="C92" i="1"/>
  <c r="C91" i="1"/>
  <c r="C90" i="1"/>
  <c r="C89" i="1"/>
  <c r="C88" i="1"/>
  <c r="BO87" i="1"/>
  <c r="C87" i="1"/>
  <c r="BO86" i="1"/>
  <c r="C86" i="1"/>
  <c r="BO85" i="1"/>
  <c r="C85" i="1"/>
  <c r="BO84" i="1"/>
  <c r="C84" i="1"/>
  <c r="C83" i="1"/>
  <c r="BO82" i="1"/>
  <c r="BO81" i="1"/>
  <c r="BO80" i="1"/>
  <c r="C79" i="1"/>
  <c r="C46" i="1" s="1"/>
  <c r="BO78" i="1"/>
  <c r="C78" i="1"/>
  <c r="C45" i="1" s="1"/>
  <c r="BO77" i="1"/>
  <c r="C77" i="1"/>
  <c r="C44" i="1" s="1"/>
  <c r="C76" i="1"/>
  <c r="C43" i="1" s="1"/>
  <c r="BO75" i="1"/>
  <c r="C75" i="1"/>
  <c r="C42" i="1" s="1"/>
  <c r="BO74" i="1"/>
  <c r="C74" i="1"/>
  <c r="C41" i="1" s="1"/>
  <c r="BO73" i="1"/>
  <c r="C73" i="1"/>
  <c r="C40" i="1" s="1"/>
  <c r="BO72" i="1"/>
  <c r="C72" i="1"/>
  <c r="C39" i="1" s="1"/>
  <c r="C71" i="1"/>
  <c r="C38" i="1" s="1"/>
  <c r="BO70" i="1"/>
  <c r="C70" i="1"/>
  <c r="C37" i="1" s="1"/>
  <c r="BO69" i="1"/>
  <c r="C69" i="1"/>
  <c r="C36" i="1" s="1"/>
  <c r="BO68" i="1"/>
  <c r="C68" i="1"/>
  <c r="C35" i="1" s="1"/>
  <c r="BO67" i="1"/>
  <c r="C67" i="1"/>
  <c r="C34" i="1" s="1"/>
  <c r="BO66" i="1"/>
  <c r="AX66" i="1"/>
  <c r="AU66" i="1"/>
  <c r="AR66" i="1"/>
  <c r="AO66" i="1"/>
  <c r="AL66" i="1"/>
  <c r="AI66" i="1"/>
  <c r="AF66" i="1"/>
  <c r="AC66" i="1"/>
  <c r="Z66" i="1"/>
  <c r="W66" i="1"/>
  <c r="T66" i="1"/>
  <c r="Q66" i="1"/>
  <c r="N66" i="1"/>
  <c r="K66" i="1"/>
  <c r="C66" i="1"/>
  <c r="C33" i="1" s="1"/>
  <c r="BO65" i="1"/>
  <c r="AZ65" i="1"/>
  <c r="AW65" i="1"/>
  <c r="AT65" i="1"/>
  <c r="AQ65" i="1"/>
  <c r="AN65" i="1"/>
  <c r="AK65" i="1"/>
  <c r="AH65" i="1"/>
  <c r="AE65" i="1"/>
  <c r="AB65" i="1"/>
  <c r="Y65" i="1"/>
  <c r="V65" i="1"/>
  <c r="S65" i="1"/>
  <c r="P65" i="1"/>
  <c r="M65" i="1"/>
  <c r="J65" i="1"/>
  <c r="C65" i="1"/>
  <c r="C32" i="1" s="1"/>
  <c r="BO63" i="1"/>
  <c r="G63" i="1"/>
  <c r="BO62" i="1"/>
  <c r="G62" i="1"/>
  <c r="G61" i="1"/>
  <c r="BO60" i="1"/>
  <c r="G60" i="1"/>
  <c r="BO59" i="1"/>
  <c r="G59" i="1"/>
  <c r="BO58" i="1"/>
  <c r="G58" i="1"/>
  <c r="C58" i="1"/>
  <c r="BO57" i="1"/>
  <c r="G57" i="1"/>
  <c r="G56" i="1"/>
  <c r="G55" i="1"/>
  <c r="G54" i="1"/>
  <c r="C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BS39" i="1"/>
  <c r="G39" i="1"/>
  <c r="G38" i="1"/>
  <c r="G37" i="1"/>
  <c r="G36" i="1"/>
  <c r="G35" i="1"/>
  <c r="G34" i="1"/>
  <c r="BS33" i="1"/>
  <c r="BT33" i="1" s="1"/>
  <c r="BU33" i="1" s="1"/>
  <c r="G33" i="1"/>
  <c r="G32" i="1"/>
  <c r="BS31" i="1"/>
  <c r="BT31" i="1" s="1"/>
  <c r="G31" i="1"/>
  <c r="BS30" i="1"/>
  <c r="BT30" i="1" s="1"/>
  <c r="BU30" i="1" s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C18" i="1"/>
  <c r="G17" i="1"/>
  <c r="C17" i="1"/>
  <c r="C26" i="1" s="1"/>
  <c r="G5" i="1" s="1"/>
  <c r="G16" i="1"/>
  <c r="C16" i="1"/>
  <c r="C27" i="1" s="1"/>
  <c r="BO15" i="1"/>
  <c r="G15" i="1"/>
  <c r="C15" i="1"/>
  <c r="BO14" i="1"/>
  <c r="G14" i="1"/>
  <c r="BO13" i="1"/>
  <c r="G13" i="1"/>
  <c r="BO12" i="1"/>
  <c r="G12" i="1"/>
  <c r="BO11" i="1"/>
  <c r="G11" i="1"/>
  <c r="BO10" i="1"/>
  <c r="G10" i="1"/>
  <c r="BO9" i="1"/>
  <c r="G9" i="1"/>
  <c r="BO8" i="1"/>
  <c r="G8" i="1"/>
  <c r="BO7" i="1"/>
  <c r="G7" i="1"/>
  <c r="C7" i="1"/>
  <c r="BO6" i="1"/>
  <c r="G6" i="1"/>
  <c r="C6" i="1"/>
  <c r="C5" i="1"/>
  <c r="C12" i="1" s="1"/>
  <c r="G4" i="1"/>
  <c r="C4" i="1"/>
  <c r="C10" i="1" s="1"/>
  <c r="BO3" i="1"/>
  <c r="C3" i="1"/>
  <c r="AZ2" i="1"/>
  <c r="AW2" i="1"/>
  <c r="AT2" i="1"/>
  <c r="AQ2" i="1"/>
  <c r="AN2" i="1"/>
  <c r="AK2" i="1"/>
  <c r="AH2" i="1"/>
  <c r="AE2" i="1"/>
  <c r="AB2" i="1"/>
  <c r="Y2" i="1"/>
  <c r="V2" i="1"/>
  <c r="S2" i="1"/>
  <c r="P2" i="1"/>
  <c r="M2" i="1"/>
  <c r="J2" i="1"/>
  <c r="AZ1" i="1"/>
  <c r="AW1" i="1"/>
  <c r="AT1" i="1"/>
  <c r="AQ1" i="1"/>
  <c r="AN1" i="1"/>
  <c r="AK1" i="1"/>
  <c r="AH1" i="1"/>
  <c r="AE1" i="1"/>
  <c r="AB1" i="1"/>
  <c r="Y1" i="1"/>
  <c r="V1" i="1"/>
  <c r="S1" i="1"/>
  <c r="P1" i="1"/>
  <c r="M1" i="1"/>
  <c r="J1" i="1"/>
  <c r="C28" i="1" l="1"/>
  <c r="C23" i="1"/>
  <c r="C24" i="1" s="1"/>
  <c r="BA66" i="1"/>
  <c r="AX5" i="1"/>
  <c r="C116" i="1"/>
  <c r="C134" i="1"/>
  <c r="AX4" i="1"/>
  <c r="AX9" i="1" s="1"/>
  <c r="AZ66" i="1"/>
  <c r="AX6" i="1"/>
  <c r="AX7" i="1"/>
  <c r="AX8" i="1"/>
  <c r="C133" i="1"/>
  <c r="AU7" i="1"/>
  <c r="C115" i="1"/>
  <c r="AU8" i="1"/>
  <c r="AW66" i="1"/>
  <c r="AU6" i="1"/>
  <c r="AU4" i="1"/>
  <c r="AU9" i="1" s="1"/>
  <c r="AU5" i="1"/>
  <c r="C132" i="1"/>
  <c r="AR5" i="1"/>
  <c r="C114" i="1"/>
  <c r="AT66" i="1"/>
  <c r="AR6" i="1"/>
  <c r="AR7" i="1"/>
  <c r="AR8" i="1"/>
  <c r="AR4" i="1"/>
  <c r="AR9" i="1"/>
  <c r="AO6" i="1"/>
  <c r="C131" i="1"/>
  <c r="C113" i="1"/>
  <c r="AQ66" i="1"/>
  <c r="AO7" i="1"/>
  <c r="AO8" i="1"/>
  <c r="AO9" i="1"/>
  <c r="AO4" i="1"/>
  <c r="AO5" i="1"/>
  <c r="AL4" i="1"/>
  <c r="AL9" i="1"/>
  <c r="AL10" i="1" s="1"/>
  <c r="AL8" i="1"/>
  <c r="AL7" i="1"/>
  <c r="AN66" i="1"/>
  <c r="AL6" i="1"/>
  <c r="AL12" i="1"/>
  <c r="C112" i="1"/>
  <c r="AL5" i="1"/>
  <c r="C130" i="1"/>
  <c r="AL14" i="1"/>
  <c r="AL18" i="1"/>
  <c r="AL11" i="1"/>
  <c r="AL16" i="1"/>
  <c r="AL13" i="1"/>
  <c r="C129" i="1"/>
  <c r="AI5" i="1"/>
  <c r="C111" i="1"/>
  <c r="AI4" i="1"/>
  <c r="AI9" i="1"/>
  <c r="AI8" i="1"/>
  <c r="AI7" i="1"/>
  <c r="AI6" i="1"/>
  <c r="AK66" i="1"/>
  <c r="C128" i="1"/>
  <c r="C110" i="1"/>
  <c r="AF4" i="1"/>
  <c r="AF8" i="1"/>
  <c r="AF7" i="1"/>
  <c r="AH66" i="1"/>
  <c r="AF6" i="1"/>
  <c r="AF5" i="1"/>
  <c r="AF9" i="1"/>
  <c r="C127" i="1"/>
  <c r="C109" i="1"/>
  <c r="AC4" i="1"/>
  <c r="AC9" i="1" s="1"/>
  <c r="AC5" i="1"/>
  <c r="AC8" i="1"/>
  <c r="AC7" i="1"/>
  <c r="AE66" i="1"/>
  <c r="AC6" i="1"/>
  <c r="C126" i="1"/>
  <c r="Z4" i="1"/>
  <c r="C108" i="1"/>
  <c r="Z5" i="1"/>
  <c r="Z9" i="1"/>
  <c r="Z8" i="1"/>
  <c r="Z7" i="1"/>
  <c r="AB66" i="1"/>
  <c r="Z14" i="1"/>
  <c r="Z6" i="1"/>
  <c r="W4" i="1"/>
  <c r="W9" i="1" s="1"/>
  <c r="C125" i="1"/>
  <c r="C107" i="1"/>
  <c r="W5" i="1"/>
  <c r="W8" i="1"/>
  <c r="W7" i="1"/>
  <c r="Y66" i="1"/>
  <c r="W6" i="1"/>
  <c r="T4" i="1"/>
  <c r="C124" i="1"/>
  <c r="T5" i="1"/>
  <c r="C106" i="1"/>
  <c r="T9" i="1"/>
  <c r="T7" i="1"/>
  <c r="T8" i="1"/>
  <c r="V66" i="1"/>
  <c r="T12" i="1"/>
  <c r="T6" i="1"/>
  <c r="C105" i="1"/>
  <c r="Q8" i="1"/>
  <c r="S66" i="1"/>
  <c r="Q5" i="1"/>
  <c r="Q7" i="1"/>
  <c r="Q4" i="1"/>
  <c r="Q9" i="1" s="1"/>
  <c r="C123" i="1"/>
  <c r="Q6" i="1"/>
  <c r="N8" i="1"/>
  <c r="N5" i="1"/>
  <c r="C122" i="1"/>
  <c r="N4" i="1"/>
  <c r="N9" i="1" s="1"/>
  <c r="N7" i="1"/>
  <c r="C104" i="1"/>
  <c r="P66" i="1"/>
  <c r="N6" i="1"/>
  <c r="K8" i="1"/>
  <c r="K5" i="1"/>
  <c r="K4" i="1"/>
  <c r="K9" i="1" s="1"/>
  <c r="M66" i="1"/>
  <c r="C103" i="1"/>
  <c r="K7" i="1"/>
  <c r="C121" i="1"/>
  <c r="K6" i="1"/>
  <c r="H4" i="1"/>
  <c r="J66" i="1"/>
  <c r="C102" i="1"/>
  <c r="C120" i="1"/>
  <c r="C59" i="1" s="1" a="1"/>
  <c r="C59" i="1" s="1"/>
  <c r="B61" i="1" s="1"/>
  <c r="H5" i="1" l="1"/>
  <c r="I5" i="1" s="1"/>
  <c r="H9" i="1"/>
  <c r="H6" i="1"/>
  <c r="I6" i="1" s="1"/>
  <c r="H7" i="1"/>
  <c r="I7" i="1" s="1"/>
  <c r="H8" i="1"/>
  <c r="I8" i="1" s="1"/>
  <c r="AY9" i="1"/>
  <c r="AY10" i="1"/>
  <c r="AY13" i="1"/>
  <c r="AY12" i="1"/>
  <c r="AY11" i="1"/>
  <c r="AY4" i="1"/>
  <c r="AY5" i="1"/>
  <c r="AY6" i="1"/>
  <c r="AY7" i="1"/>
  <c r="AY8" i="1"/>
  <c r="AV4" i="1"/>
  <c r="AV5" i="1"/>
  <c r="AV6" i="1"/>
  <c r="AV7" i="1"/>
  <c r="AV8" i="1"/>
  <c r="AV9" i="1"/>
  <c r="AV10" i="1"/>
  <c r="AV13" i="1"/>
  <c r="AV11" i="1"/>
  <c r="AV12" i="1"/>
  <c r="AS4" i="1"/>
  <c r="AS5" i="1"/>
  <c r="AS6" i="1"/>
  <c r="AS7" i="1"/>
  <c r="AS8" i="1"/>
  <c r="AS9" i="1"/>
  <c r="AS10" i="1"/>
  <c r="AS11" i="1"/>
  <c r="AS13" i="1"/>
  <c r="AS12" i="1"/>
  <c r="AP9" i="1"/>
  <c r="AP10" i="1"/>
  <c r="AP13" i="1"/>
  <c r="AP11" i="1"/>
  <c r="AP12" i="1"/>
  <c r="AP4" i="1"/>
  <c r="AP5" i="1"/>
  <c r="AP6" i="1"/>
  <c r="AP7" i="1"/>
  <c r="AP8" i="1"/>
  <c r="AM4" i="1"/>
  <c r="AM5" i="1"/>
  <c r="AM6" i="1"/>
  <c r="AM7" i="1"/>
  <c r="AM8" i="1"/>
  <c r="AM9" i="1"/>
  <c r="AM10" i="1"/>
  <c r="AM13" i="1"/>
  <c r="AM11" i="1"/>
  <c r="AM12" i="1"/>
  <c r="AM14" i="1"/>
  <c r="AM15" i="1"/>
  <c r="AM16" i="1"/>
  <c r="AM17" i="1"/>
  <c r="AM18" i="1"/>
  <c r="AJ4" i="1"/>
  <c r="AJ5" i="1"/>
  <c r="AJ6" i="1"/>
  <c r="AJ7" i="1"/>
  <c r="AJ8" i="1"/>
  <c r="AJ9" i="1"/>
  <c r="AJ10" i="1"/>
  <c r="AJ11" i="1"/>
  <c r="AJ13" i="1"/>
  <c r="AJ12" i="1"/>
  <c r="AG4" i="1"/>
  <c r="AG5" i="1"/>
  <c r="AG6" i="1"/>
  <c r="AG7" i="1"/>
  <c r="AG8" i="1"/>
  <c r="AG9" i="1"/>
  <c r="AG10" i="1"/>
  <c r="AG12" i="1"/>
  <c r="AG13" i="1"/>
  <c r="AG11" i="1"/>
  <c r="AD4" i="1"/>
  <c r="AD5" i="1"/>
  <c r="AD6" i="1"/>
  <c r="AD7" i="1"/>
  <c r="AD8" i="1"/>
  <c r="AD9" i="1"/>
  <c r="AD10" i="1"/>
  <c r="AD12" i="1"/>
  <c r="AD13" i="1"/>
  <c r="AD11" i="1"/>
  <c r="AA4" i="1"/>
  <c r="AA5" i="1"/>
  <c r="AA6" i="1"/>
  <c r="AA7" i="1"/>
  <c r="AA8" i="1"/>
  <c r="AA9" i="1"/>
  <c r="AA10" i="1"/>
  <c r="AA11" i="1"/>
  <c r="AA13" i="1"/>
  <c r="AA12" i="1"/>
  <c r="AA14" i="1"/>
  <c r="AA15" i="1"/>
  <c r="AA16" i="1"/>
  <c r="AA17" i="1"/>
  <c r="AA18" i="1"/>
  <c r="X4" i="1"/>
  <c r="X5" i="1"/>
  <c r="X6" i="1"/>
  <c r="X7" i="1"/>
  <c r="X8" i="1"/>
  <c r="X9" i="1"/>
  <c r="X10" i="1"/>
  <c r="X12" i="1"/>
  <c r="X13" i="1"/>
  <c r="X11" i="1"/>
  <c r="U4" i="1"/>
  <c r="U5" i="1"/>
  <c r="U6" i="1"/>
  <c r="U7" i="1"/>
  <c r="U8" i="1"/>
  <c r="U9" i="1"/>
  <c r="U10" i="1"/>
  <c r="U11" i="1"/>
  <c r="U13" i="1"/>
  <c r="U12" i="1"/>
  <c r="R9" i="1"/>
  <c r="R10" i="1"/>
  <c r="R11" i="1"/>
  <c r="R13" i="1"/>
  <c r="R12" i="1"/>
  <c r="R4" i="1"/>
  <c r="R5" i="1"/>
  <c r="R6" i="1"/>
  <c r="R7" i="1"/>
  <c r="R8" i="1"/>
  <c r="O9" i="1"/>
  <c r="O10" i="1"/>
  <c r="O11" i="1"/>
  <c r="O13" i="1"/>
  <c r="O12" i="1"/>
  <c r="O4" i="1"/>
  <c r="O5" i="1"/>
  <c r="O6" i="1"/>
  <c r="O7" i="1"/>
  <c r="O8" i="1"/>
  <c r="L9" i="1"/>
  <c r="L10" i="1"/>
  <c r="L11" i="1"/>
  <c r="L12" i="1"/>
  <c r="L13" i="1"/>
  <c r="L4" i="1"/>
  <c r="L5" i="1"/>
  <c r="L6" i="1"/>
  <c r="L7" i="1"/>
  <c r="L8" i="1"/>
  <c r="I4" i="1"/>
  <c r="AX12" i="1"/>
  <c r="AX14" i="1"/>
  <c r="AX13" i="1"/>
  <c r="AX11" i="1"/>
  <c r="AX10" i="1"/>
  <c r="AU12" i="1"/>
  <c r="AU10" i="1"/>
  <c r="AU11" i="1"/>
  <c r="AU13" i="1"/>
  <c r="AU14" i="1"/>
  <c r="AR14" i="1"/>
  <c r="AR13" i="1"/>
  <c r="AR11" i="1"/>
  <c r="AR12" i="1"/>
  <c r="AR10" i="1"/>
  <c r="AO14" i="1"/>
  <c r="AO12" i="1"/>
  <c r="AO10" i="1"/>
  <c r="AO11" i="1"/>
  <c r="AO13" i="1"/>
  <c r="AL19" i="1"/>
  <c r="AL15" i="1"/>
  <c r="AL17" i="1"/>
  <c r="AI11" i="1"/>
  <c r="AI14" i="1"/>
  <c r="AI13" i="1"/>
  <c r="AI10" i="1"/>
  <c r="AI12" i="1"/>
  <c r="AF11" i="1"/>
  <c r="AF13" i="1"/>
  <c r="AF12" i="1"/>
  <c r="AF10" i="1"/>
  <c r="AF14" i="1"/>
  <c r="AC10" i="1"/>
  <c r="AC11" i="1"/>
  <c r="AC13" i="1"/>
  <c r="AC14" i="1"/>
  <c r="AC12" i="1"/>
  <c r="Z12" i="1"/>
  <c r="Z11" i="1"/>
  <c r="Z10" i="1"/>
  <c r="Z13" i="1"/>
  <c r="Z18" i="1"/>
  <c r="Z17" i="1"/>
  <c r="Z19" i="1"/>
  <c r="Z15" i="1"/>
  <c r="Z16" i="1"/>
  <c r="W12" i="1"/>
  <c r="W10" i="1"/>
  <c r="W11" i="1"/>
  <c r="W13" i="1"/>
  <c r="W14" i="1"/>
  <c r="T11" i="1"/>
  <c r="T13" i="1"/>
  <c r="T14" i="1"/>
  <c r="T10" i="1"/>
  <c r="Q14" i="1"/>
  <c r="Q13" i="1"/>
  <c r="Q10" i="1"/>
  <c r="Q11" i="1"/>
  <c r="Q12" i="1"/>
  <c r="N14" i="1"/>
  <c r="N10" i="1"/>
  <c r="N11" i="1"/>
  <c r="N12" i="1"/>
  <c r="N13" i="1"/>
  <c r="K13" i="1"/>
  <c r="K10" i="1"/>
  <c r="K12" i="1"/>
  <c r="K14" i="1"/>
  <c r="K11" i="1"/>
  <c r="I9" i="1" l="1"/>
  <c r="BA9" i="1" s="1"/>
  <c r="H12" i="1"/>
  <c r="H13" i="1"/>
  <c r="I13" i="1" s="1"/>
  <c r="BA13" i="1" s="1"/>
  <c r="I12" i="1"/>
  <c r="BA12" i="1" s="1"/>
  <c r="H14" i="1"/>
  <c r="H11" i="1"/>
  <c r="I11" i="1" s="1"/>
  <c r="BA11" i="1" s="1"/>
  <c r="H10" i="1"/>
  <c r="I10" i="1" s="1"/>
  <c r="BA10" i="1" s="1"/>
  <c r="AY18" i="1"/>
  <c r="AY17" i="1"/>
  <c r="AY16" i="1"/>
  <c r="AY15" i="1"/>
  <c r="AY14" i="1"/>
  <c r="AX17" i="1"/>
  <c r="AX16" i="1"/>
  <c r="AX18" i="1"/>
  <c r="AX15" i="1"/>
  <c r="AX19" i="1"/>
  <c r="AV18" i="1"/>
  <c r="AV17" i="1"/>
  <c r="AV16" i="1"/>
  <c r="AV15" i="1"/>
  <c r="AV14" i="1"/>
  <c r="AU17" i="1"/>
  <c r="AU19" i="1"/>
  <c r="AU15" i="1"/>
  <c r="AU16" i="1"/>
  <c r="AU18" i="1"/>
  <c r="AS18" i="1"/>
  <c r="AS17" i="1"/>
  <c r="AS16" i="1"/>
  <c r="AS15" i="1"/>
  <c r="AS14" i="1"/>
  <c r="AR15" i="1"/>
  <c r="AR17" i="1"/>
  <c r="AR16" i="1"/>
  <c r="AR18" i="1"/>
  <c r="AR19" i="1"/>
  <c r="AP18" i="1"/>
  <c r="AP17" i="1"/>
  <c r="AP16" i="1"/>
  <c r="AP15" i="1"/>
  <c r="AP14" i="1"/>
  <c r="AO19" i="1"/>
  <c r="AO18" i="1"/>
  <c r="AO17" i="1"/>
  <c r="AO16" i="1"/>
  <c r="AO15" i="1"/>
  <c r="AM23" i="1"/>
  <c r="AM22" i="1"/>
  <c r="AM21" i="1"/>
  <c r="AM20" i="1"/>
  <c r="AM19" i="1"/>
  <c r="AL22" i="1"/>
  <c r="AL24" i="1"/>
  <c r="AL21" i="1"/>
  <c r="AL20" i="1"/>
  <c r="AL23" i="1"/>
  <c r="AJ18" i="1"/>
  <c r="AJ17" i="1"/>
  <c r="AJ16" i="1"/>
  <c r="AJ15" i="1"/>
  <c r="AJ14" i="1"/>
  <c r="AI15" i="1"/>
  <c r="AI16" i="1"/>
  <c r="AI17" i="1"/>
  <c r="AI18" i="1"/>
  <c r="AI19" i="1"/>
  <c r="AG18" i="1"/>
  <c r="AG17" i="1"/>
  <c r="AG16" i="1"/>
  <c r="AG15" i="1"/>
  <c r="AG14" i="1"/>
  <c r="AF17" i="1"/>
  <c r="AF16" i="1"/>
  <c r="AF19" i="1"/>
  <c r="AF15" i="1"/>
  <c r="AF18" i="1"/>
  <c r="AD18" i="1"/>
  <c r="AD17" i="1"/>
  <c r="AD16" i="1"/>
  <c r="AD15" i="1"/>
  <c r="AD14" i="1"/>
  <c r="AC15" i="1"/>
  <c r="AC19" i="1"/>
  <c r="AC17" i="1"/>
  <c r="AC16" i="1"/>
  <c r="AC18" i="1"/>
  <c r="AA23" i="1"/>
  <c r="AA22" i="1"/>
  <c r="AA21" i="1"/>
  <c r="AA20" i="1"/>
  <c r="AA19" i="1"/>
  <c r="Z23" i="1"/>
  <c r="Z24" i="1"/>
  <c r="Z21" i="1"/>
  <c r="Z20" i="1"/>
  <c r="Z22" i="1"/>
  <c r="X18" i="1"/>
  <c r="X17" i="1"/>
  <c r="X16" i="1"/>
  <c r="X15" i="1"/>
  <c r="X14" i="1"/>
  <c r="W15" i="1"/>
  <c r="W16" i="1"/>
  <c r="W17" i="1"/>
  <c r="W18" i="1"/>
  <c r="W19" i="1"/>
  <c r="U18" i="1"/>
  <c r="U17" i="1"/>
  <c r="U16" i="1"/>
  <c r="U15" i="1"/>
  <c r="U14" i="1"/>
  <c r="T15" i="1"/>
  <c r="T16" i="1"/>
  <c r="T17" i="1"/>
  <c r="T19" i="1"/>
  <c r="T18" i="1"/>
  <c r="R18" i="1"/>
  <c r="R17" i="1"/>
  <c r="R16" i="1"/>
  <c r="R15" i="1"/>
  <c r="R14" i="1"/>
  <c r="Q19" i="1"/>
  <c r="Q15" i="1"/>
  <c r="Q16" i="1"/>
  <c r="Q18" i="1"/>
  <c r="Q17" i="1"/>
  <c r="O18" i="1"/>
  <c r="O17" i="1"/>
  <c r="O16" i="1"/>
  <c r="O15" i="1"/>
  <c r="O14" i="1"/>
  <c r="N19" i="1"/>
  <c r="N15" i="1"/>
  <c r="N18" i="1"/>
  <c r="N16" i="1"/>
  <c r="N17" i="1"/>
  <c r="L18" i="1"/>
  <c r="L17" i="1"/>
  <c r="L16" i="1"/>
  <c r="L15" i="1"/>
  <c r="L14" i="1"/>
  <c r="K15" i="1"/>
  <c r="K18" i="1"/>
  <c r="K19" i="1"/>
  <c r="K16" i="1"/>
  <c r="K17" i="1"/>
  <c r="BA4" i="1"/>
  <c r="BA65" i="1" s="1"/>
  <c r="C20" i="1" s="1"/>
  <c r="C21" i="1" s="1"/>
  <c r="C55" i="1" s="1"/>
  <c r="B56" i="1" s="1"/>
  <c r="BA5" i="1"/>
  <c r="BA6" i="1"/>
  <c r="BA7" i="1"/>
  <c r="BA8" i="1"/>
  <c r="I14" i="1" l="1"/>
  <c r="BA14" i="1" s="1"/>
  <c r="H16" i="1"/>
  <c r="I16" i="1" s="1"/>
  <c r="BA16" i="1" s="1"/>
  <c r="H15" i="1"/>
  <c r="I15" i="1" s="1"/>
  <c r="BA15" i="1" s="1"/>
  <c r="H17" i="1"/>
  <c r="I17" i="1" s="1"/>
  <c r="BA17" i="1" s="1"/>
  <c r="H18" i="1"/>
  <c r="I18" i="1" s="1"/>
  <c r="BA18" i="1" s="1"/>
  <c r="H19" i="1"/>
  <c r="AY23" i="1"/>
  <c r="AY22" i="1"/>
  <c r="AY21" i="1"/>
  <c r="AY20" i="1"/>
  <c r="AY19" i="1"/>
  <c r="AX24" i="1"/>
  <c r="AX23" i="1"/>
  <c r="AX22" i="1"/>
  <c r="AX20" i="1"/>
  <c r="AX21" i="1"/>
  <c r="AV23" i="1"/>
  <c r="AV22" i="1"/>
  <c r="AV21" i="1"/>
  <c r="AV20" i="1"/>
  <c r="AV19" i="1"/>
  <c r="AU20" i="1"/>
  <c r="AU22" i="1"/>
  <c r="AU23" i="1"/>
  <c r="AU21" i="1"/>
  <c r="AU24" i="1"/>
  <c r="AS23" i="1"/>
  <c r="AS22" i="1"/>
  <c r="AS21" i="1"/>
  <c r="AS20" i="1"/>
  <c r="AS19" i="1"/>
  <c r="AR23" i="1"/>
  <c r="AR20" i="1"/>
  <c r="AR21" i="1"/>
  <c r="AR24" i="1"/>
  <c r="AR22" i="1"/>
  <c r="AP23" i="1"/>
  <c r="AP22" i="1"/>
  <c r="AP21" i="1"/>
  <c r="AP20" i="1"/>
  <c r="AP19" i="1"/>
  <c r="AO24" i="1"/>
  <c r="AO23" i="1"/>
  <c r="AO22" i="1"/>
  <c r="AO21" i="1"/>
  <c r="AO20" i="1"/>
  <c r="AM28" i="1"/>
  <c r="AM27" i="1"/>
  <c r="AM26" i="1"/>
  <c r="AM25" i="1"/>
  <c r="AM24" i="1"/>
  <c r="AL27" i="1"/>
  <c r="AL29" i="1"/>
  <c r="AL26" i="1"/>
  <c r="AL25" i="1"/>
  <c r="AL28" i="1"/>
  <c r="AJ23" i="1"/>
  <c r="AJ22" i="1"/>
  <c r="AJ21" i="1"/>
  <c r="AJ20" i="1"/>
  <c r="AJ19" i="1"/>
  <c r="AI20" i="1"/>
  <c r="AI21" i="1"/>
  <c r="AI22" i="1"/>
  <c r="AI23" i="1"/>
  <c r="AI24" i="1"/>
  <c r="AG23" i="1"/>
  <c r="AG22" i="1"/>
  <c r="AG21" i="1"/>
  <c r="AG20" i="1"/>
  <c r="AG19" i="1"/>
  <c r="AF22" i="1"/>
  <c r="AF23" i="1"/>
  <c r="AF20" i="1"/>
  <c r="AF21" i="1"/>
  <c r="AF24" i="1"/>
  <c r="AD23" i="1"/>
  <c r="AD22" i="1"/>
  <c r="AD21" i="1"/>
  <c r="AD20" i="1"/>
  <c r="AD19" i="1"/>
  <c r="AC20" i="1"/>
  <c r="AC23" i="1"/>
  <c r="AC21" i="1"/>
  <c r="AC24" i="1"/>
  <c r="AC22" i="1"/>
  <c r="AA28" i="1"/>
  <c r="AA27" i="1"/>
  <c r="AA26" i="1"/>
  <c r="AA25" i="1"/>
  <c r="AA24" i="1"/>
  <c r="Z27" i="1"/>
  <c r="Z29" i="1"/>
  <c r="Z28" i="1"/>
  <c r="Z25" i="1"/>
  <c r="Z26" i="1"/>
  <c r="X23" i="1"/>
  <c r="X22" i="1"/>
  <c r="X21" i="1"/>
  <c r="X20" i="1"/>
  <c r="X19" i="1"/>
  <c r="W20" i="1"/>
  <c r="W21" i="1"/>
  <c r="W22" i="1"/>
  <c r="W24" i="1"/>
  <c r="W23" i="1"/>
  <c r="U23" i="1"/>
  <c r="U22" i="1"/>
  <c r="U21" i="1"/>
  <c r="U20" i="1"/>
  <c r="U19" i="1"/>
  <c r="T21" i="1"/>
  <c r="T22" i="1"/>
  <c r="T24" i="1"/>
  <c r="T20" i="1"/>
  <c r="T23" i="1"/>
  <c r="R23" i="1"/>
  <c r="R22" i="1"/>
  <c r="R21" i="1"/>
  <c r="R20" i="1"/>
  <c r="R19" i="1"/>
  <c r="Q21" i="1"/>
  <c r="Q24" i="1"/>
  <c r="Q20" i="1"/>
  <c r="Q23" i="1"/>
  <c r="Q22" i="1"/>
  <c r="O23" i="1"/>
  <c r="O22" i="1"/>
  <c r="O21" i="1"/>
  <c r="O20" i="1"/>
  <c r="O19" i="1"/>
  <c r="N22" i="1"/>
  <c r="N23" i="1"/>
  <c r="N20" i="1"/>
  <c r="N21" i="1"/>
  <c r="N24" i="1"/>
  <c r="L23" i="1"/>
  <c r="L22" i="1"/>
  <c r="L21" i="1"/>
  <c r="L20" i="1"/>
  <c r="L19" i="1"/>
  <c r="K21" i="1"/>
  <c r="K24" i="1"/>
  <c r="K22" i="1"/>
  <c r="K20" i="1"/>
  <c r="K23" i="1"/>
  <c r="I19" i="1" l="1"/>
  <c r="BA19" i="1" s="1"/>
  <c r="H20" i="1"/>
  <c r="I20" i="1" s="1"/>
  <c r="BA20" i="1" s="1"/>
  <c r="H22" i="1"/>
  <c r="I22" i="1" s="1"/>
  <c r="BA22" i="1" s="1"/>
  <c r="H23" i="1"/>
  <c r="I23" i="1" s="1"/>
  <c r="BA23" i="1" s="1"/>
  <c r="H24" i="1"/>
  <c r="H21" i="1"/>
  <c r="I21" i="1" s="1"/>
  <c r="BA21" i="1" s="1"/>
  <c r="AY28" i="1"/>
  <c r="AY27" i="1"/>
  <c r="AY26" i="1"/>
  <c r="AY25" i="1"/>
  <c r="AY24" i="1"/>
  <c r="AX27" i="1"/>
  <c r="AX29" i="1"/>
  <c r="AX28" i="1"/>
  <c r="AX26" i="1"/>
  <c r="AX25" i="1"/>
  <c r="AV28" i="1"/>
  <c r="AV27" i="1"/>
  <c r="AV26" i="1"/>
  <c r="AV25" i="1"/>
  <c r="AV24" i="1"/>
  <c r="AU28" i="1"/>
  <c r="AU27" i="1"/>
  <c r="AU29" i="1"/>
  <c r="AU26" i="1"/>
  <c r="AU25" i="1"/>
  <c r="AS28" i="1"/>
  <c r="AS27" i="1"/>
  <c r="AS26" i="1"/>
  <c r="AS25" i="1"/>
  <c r="AS24" i="1"/>
  <c r="AR29" i="1"/>
  <c r="AR28" i="1"/>
  <c r="AR27" i="1"/>
  <c r="AR26" i="1"/>
  <c r="AR25" i="1"/>
  <c r="AP28" i="1"/>
  <c r="AP27" i="1"/>
  <c r="AP26" i="1"/>
  <c r="AP25" i="1"/>
  <c r="AP24" i="1"/>
  <c r="AO28" i="1"/>
  <c r="AO29" i="1"/>
  <c r="AO27" i="1"/>
  <c r="AO26" i="1"/>
  <c r="AO25" i="1"/>
  <c r="AM33" i="1"/>
  <c r="AM32" i="1"/>
  <c r="AM31" i="1"/>
  <c r="AM30" i="1"/>
  <c r="AM29" i="1"/>
  <c r="AL34" i="1"/>
  <c r="AL33" i="1"/>
  <c r="AL30" i="1"/>
  <c r="AL31" i="1"/>
  <c r="AL32" i="1"/>
  <c r="AJ28" i="1"/>
  <c r="AJ27" i="1"/>
  <c r="AJ26" i="1"/>
  <c r="AJ25" i="1"/>
  <c r="AJ24" i="1"/>
  <c r="AI25" i="1"/>
  <c r="AI26" i="1"/>
  <c r="AI27" i="1"/>
  <c r="AI28" i="1"/>
  <c r="AI29" i="1"/>
  <c r="AG28" i="1"/>
  <c r="AG27" i="1"/>
  <c r="AG26" i="1"/>
  <c r="AG25" i="1"/>
  <c r="AG24" i="1"/>
  <c r="AF25" i="1"/>
  <c r="AF26" i="1"/>
  <c r="AF27" i="1"/>
  <c r="AF29" i="1"/>
  <c r="AF28" i="1"/>
  <c r="AD28" i="1"/>
  <c r="AD27" i="1"/>
  <c r="AD26" i="1"/>
  <c r="AD25" i="1"/>
  <c r="AD24" i="1"/>
  <c r="AC25" i="1"/>
  <c r="AC26" i="1"/>
  <c r="AC27" i="1"/>
  <c r="AC28" i="1"/>
  <c r="AC29" i="1"/>
  <c r="AA32" i="1"/>
  <c r="AA30" i="1"/>
  <c r="AA31" i="1"/>
  <c r="AA29" i="1"/>
  <c r="AA33" i="1"/>
  <c r="Z30" i="1"/>
  <c r="Z33" i="1"/>
  <c r="Z31" i="1"/>
  <c r="Z34" i="1"/>
  <c r="Z32" i="1"/>
  <c r="X28" i="1"/>
  <c r="X27" i="1"/>
  <c r="X26" i="1"/>
  <c r="X25" i="1"/>
  <c r="X24" i="1"/>
  <c r="W25" i="1"/>
  <c r="W26" i="1"/>
  <c r="W27" i="1"/>
  <c r="W28" i="1"/>
  <c r="W29" i="1"/>
  <c r="U28" i="1"/>
  <c r="U27" i="1"/>
  <c r="U26" i="1"/>
  <c r="U25" i="1"/>
  <c r="U24" i="1"/>
  <c r="T28" i="1"/>
  <c r="T29" i="1"/>
  <c r="T27" i="1"/>
  <c r="T26" i="1"/>
  <c r="T25" i="1"/>
  <c r="R28" i="1"/>
  <c r="R27" i="1"/>
  <c r="R26" i="1"/>
  <c r="R25" i="1"/>
  <c r="R24" i="1"/>
  <c r="Q26" i="1"/>
  <c r="Q28" i="1"/>
  <c r="Q27" i="1"/>
  <c r="Q25" i="1"/>
  <c r="Q29" i="1"/>
  <c r="O28" i="1"/>
  <c r="O27" i="1"/>
  <c r="O26" i="1"/>
  <c r="O25" i="1"/>
  <c r="O24" i="1"/>
  <c r="N27" i="1"/>
  <c r="N25" i="1"/>
  <c r="N28" i="1"/>
  <c r="N26" i="1"/>
  <c r="N29" i="1"/>
  <c r="L28" i="1"/>
  <c r="L27" i="1"/>
  <c r="L26" i="1"/>
  <c r="L25" i="1"/>
  <c r="L24" i="1"/>
  <c r="K29" i="1"/>
  <c r="K25" i="1"/>
  <c r="K27" i="1"/>
  <c r="K28" i="1"/>
  <c r="K26" i="1"/>
  <c r="H28" i="1" l="1"/>
  <c r="I28" i="1" s="1"/>
  <c r="BA28" i="1" s="1"/>
  <c r="H27" i="1"/>
  <c r="I27" i="1" s="1"/>
  <c r="BA27" i="1" s="1"/>
  <c r="I24" i="1"/>
  <c r="BA24" i="1" s="1"/>
  <c r="H29" i="1"/>
  <c r="H25" i="1"/>
  <c r="I25" i="1" s="1"/>
  <c r="BA25" i="1" s="1"/>
  <c r="H26" i="1"/>
  <c r="I26" i="1" s="1"/>
  <c r="BA26" i="1" s="1"/>
  <c r="AY31" i="1"/>
  <c r="AY30" i="1"/>
  <c r="AY32" i="1"/>
  <c r="AY33" i="1"/>
  <c r="AY29" i="1"/>
  <c r="AX33" i="1"/>
  <c r="AX30" i="1"/>
  <c r="AX32" i="1"/>
  <c r="AX34" i="1"/>
  <c r="AX31" i="1"/>
  <c r="AV32" i="1"/>
  <c r="AV31" i="1"/>
  <c r="AV30" i="1"/>
  <c r="AV33" i="1"/>
  <c r="AV29" i="1"/>
  <c r="AU34" i="1"/>
  <c r="AU32" i="1"/>
  <c r="AU30" i="1"/>
  <c r="AU33" i="1"/>
  <c r="AU31" i="1"/>
  <c r="AS33" i="1"/>
  <c r="AS30" i="1"/>
  <c r="AS31" i="1"/>
  <c r="AS32" i="1"/>
  <c r="AS29" i="1"/>
  <c r="AR34" i="1"/>
  <c r="AR30" i="1"/>
  <c r="AR31" i="1"/>
  <c r="AR32" i="1"/>
  <c r="AR33" i="1"/>
  <c r="AP31" i="1"/>
  <c r="AP30" i="1"/>
  <c r="AP29" i="1"/>
  <c r="AP33" i="1"/>
  <c r="AP32" i="1"/>
  <c r="AO31" i="1"/>
  <c r="AO33" i="1"/>
  <c r="AO34" i="1"/>
  <c r="AO30" i="1"/>
  <c r="AO32" i="1"/>
  <c r="AM38" i="1"/>
  <c r="AM37" i="1"/>
  <c r="AM36" i="1"/>
  <c r="AM35" i="1"/>
  <c r="AM34" i="1"/>
  <c r="AL37" i="1"/>
  <c r="AL38" i="1"/>
  <c r="AL39" i="1"/>
  <c r="AL35" i="1"/>
  <c r="AL36" i="1"/>
  <c r="AJ33" i="1"/>
  <c r="AJ30" i="1"/>
  <c r="AJ32" i="1"/>
  <c r="AJ31" i="1"/>
  <c r="AJ29" i="1"/>
  <c r="AI34" i="1"/>
  <c r="AI33" i="1"/>
  <c r="AI31" i="1"/>
  <c r="AI30" i="1"/>
  <c r="AI32" i="1"/>
  <c r="AG33" i="1"/>
  <c r="AG30" i="1"/>
  <c r="AG29" i="1"/>
  <c r="AG32" i="1"/>
  <c r="AG31" i="1"/>
  <c r="AF30" i="1"/>
  <c r="AF34" i="1"/>
  <c r="AF31" i="1"/>
  <c r="AF32" i="1"/>
  <c r="AF33" i="1"/>
  <c r="AD32" i="1"/>
  <c r="AD29" i="1"/>
  <c r="AD30" i="1"/>
  <c r="AD33" i="1"/>
  <c r="AD31" i="1"/>
  <c r="AC32" i="1"/>
  <c r="AC34" i="1"/>
  <c r="AC31" i="1"/>
  <c r="AC33" i="1"/>
  <c r="AC30" i="1"/>
  <c r="AA38" i="1"/>
  <c r="AA37" i="1"/>
  <c r="AA36" i="1"/>
  <c r="AA35" i="1"/>
  <c r="AA34" i="1"/>
  <c r="Z39" i="1"/>
  <c r="Z35" i="1"/>
  <c r="Z37" i="1"/>
  <c r="Z38" i="1"/>
  <c r="Z36" i="1"/>
  <c r="X30" i="1"/>
  <c r="X32" i="1"/>
  <c r="X31" i="1"/>
  <c r="X29" i="1"/>
  <c r="X33" i="1"/>
  <c r="W34" i="1"/>
  <c r="W30" i="1"/>
  <c r="W31" i="1"/>
  <c r="W33" i="1"/>
  <c r="W32" i="1"/>
  <c r="U33" i="1"/>
  <c r="U29" i="1"/>
  <c r="U31" i="1"/>
  <c r="U30" i="1"/>
  <c r="U32" i="1"/>
  <c r="T33" i="1"/>
  <c r="T30" i="1"/>
  <c r="T32" i="1"/>
  <c r="T31" i="1"/>
  <c r="T34" i="1"/>
  <c r="R29" i="1"/>
  <c r="R33" i="1"/>
  <c r="R32" i="1"/>
  <c r="R30" i="1"/>
  <c r="R31" i="1"/>
  <c r="Q31" i="1"/>
  <c r="Q30" i="1"/>
  <c r="Q32" i="1"/>
  <c r="Q34" i="1"/>
  <c r="Q33" i="1"/>
  <c r="O29" i="1"/>
  <c r="O32" i="1"/>
  <c r="O30" i="1"/>
  <c r="O33" i="1"/>
  <c r="O31" i="1"/>
  <c r="N30" i="1"/>
  <c r="N31" i="1"/>
  <c r="N34" i="1"/>
  <c r="N32" i="1"/>
  <c r="N33" i="1"/>
  <c r="L33" i="1"/>
  <c r="L32" i="1"/>
  <c r="L31" i="1"/>
  <c r="L30" i="1"/>
  <c r="L29" i="1"/>
  <c r="K31" i="1"/>
  <c r="K33" i="1"/>
  <c r="K32" i="1"/>
  <c r="K30" i="1"/>
  <c r="K34" i="1"/>
  <c r="H31" i="1" l="1"/>
  <c r="I31" i="1" s="1"/>
  <c r="BA31" i="1" s="1"/>
  <c r="H30" i="1"/>
  <c r="I30" i="1" s="1"/>
  <c r="BA30" i="1" s="1"/>
  <c r="H33" i="1"/>
  <c r="I33" i="1" s="1"/>
  <c r="BA33" i="1" s="1"/>
  <c r="I29" i="1"/>
  <c r="BA29" i="1" s="1"/>
  <c r="H34" i="1"/>
  <c r="H32" i="1"/>
  <c r="I32" i="1" s="1"/>
  <c r="BA32" i="1" s="1"/>
  <c r="AY38" i="1"/>
  <c r="AY37" i="1"/>
  <c r="AY36" i="1"/>
  <c r="AY35" i="1"/>
  <c r="AY34" i="1"/>
  <c r="AX35" i="1"/>
  <c r="AX38" i="1"/>
  <c r="AX39" i="1"/>
  <c r="AX37" i="1"/>
  <c r="AX36" i="1"/>
  <c r="AV38" i="1"/>
  <c r="AV37" i="1"/>
  <c r="AV36" i="1"/>
  <c r="AV35" i="1"/>
  <c r="AV34" i="1"/>
  <c r="AU36" i="1"/>
  <c r="AU38" i="1"/>
  <c r="AU35" i="1"/>
  <c r="AU39" i="1"/>
  <c r="AU37" i="1"/>
  <c r="AS38" i="1"/>
  <c r="AS37" i="1"/>
  <c r="AS36" i="1"/>
  <c r="AS35" i="1"/>
  <c r="AS34" i="1"/>
  <c r="AR36" i="1"/>
  <c r="AR37" i="1"/>
  <c r="AR38" i="1"/>
  <c r="AR35" i="1"/>
  <c r="AR39" i="1"/>
  <c r="AP38" i="1"/>
  <c r="AP36" i="1"/>
  <c r="AP37" i="1"/>
  <c r="AP35" i="1"/>
  <c r="AP34" i="1"/>
  <c r="AO39" i="1"/>
  <c r="AO37" i="1"/>
  <c r="AO38" i="1"/>
  <c r="AO35" i="1"/>
  <c r="AO36" i="1"/>
  <c r="AM43" i="1"/>
  <c r="AM42" i="1"/>
  <c r="AM41" i="1"/>
  <c r="AM40" i="1"/>
  <c r="AM39" i="1"/>
  <c r="AL44" i="1"/>
  <c r="AL43" i="1"/>
  <c r="AL40" i="1"/>
  <c r="AL41" i="1"/>
  <c r="AL42" i="1"/>
  <c r="AJ38" i="1"/>
  <c r="AJ37" i="1"/>
  <c r="AJ36" i="1"/>
  <c r="AJ35" i="1"/>
  <c r="AJ34" i="1"/>
  <c r="AI37" i="1"/>
  <c r="AI39" i="1"/>
  <c r="AI35" i="1"/>
  <c r="AI36" i="1"/>
  <c r="AI38" i="1"/>
  <c r="AG38" i="1"/>
  <c r="AG37" i="1"/>
  <c r="AG36" i="1"/>
  <c r="AG35" i="1"/>
  <c r="AG34" i="1"/>
  <c r="AF36" i="1"/>
  <c r="AF39" i="1"/>
  <c r="AF37" i="1"/>
  <c r="AF35" i="1"/>
  <c r="AF38" i="1"/>
  <c r="AD38" i="1"/>
  <c r="AD37" i="1"/>
  <c r="AD36" i="1"/>
  <c r="AD35" i="1"/>
  <c r="AD34" i="1"/>
  <c r="AC38" i="1"/>
  <c r="AC36" i="1"/>
  <c r="AC35" i="1"/>
  <c r="AC37" i="1"/>
  <c r="AC39" i="1"/>
  <c r="AA43" i="1"/>
  <c r="AA42" i="1"/>
  <c r="AA41" i="1"/>
  <c r="AA40" i="1"/>
  <c r="AA39" i="1"/>
  <c r="Z41" i="1"/>
  <c r="Z40" i="1"/>
  <c r="Z43" i="1"/>
  <c r="Z42" i="1"/>
  <c r="Z44" i="1"/>
  <c r="X38" i="1"/>
  <c r="X37" i="1"/>
  <c r="X36" i="1"/>
  <c r="X35" i="1"/>
  <c r="X34" i="1"/>
  <c r="W38" i="1"/>
  <c r="W37" i="1"/>
  <c r="W36" i="1"/>
  <c r="W39" i="1"/>
  <c r="W35" i="1"/>
  <c r="U38" i="1"/>
  <c r="U37" i="1"/>
  <c r="U36" i="1"/>
  <c r="U35" i="1"/>
  <c r="U34" i="1"/>
  <c r="T35" i="1"/>
  <c r="T37" i="1"/>
  <c r="T36" i="1"/>
  <c r="T38" i="1"/>
  <c r="T39" i="1"/>
  <c r="R38" i="1"/>
  <c r="R37" i="1"/>
  <c r="R36" i="1"/>
  <c r="R35" i="1"/>
  <c r="R34" i="1"/>
  <c r="Q36" i="1"/>
  <c r="Q38" i="1"/>
  <c r="Q37" i="1"/>
  <c r="Q39" i="1"/>
  <c r="Q35" i="1"/>
  <c r="O38" i="1"/>
  <c r="O37" i="1"/>
  <c r="O36" i="1"/>
  <c r="O35" i="1"/>
  <c r="O34" i="1"/>
  <c r="N35" i="1"/>
  <c r="N36" i="1"/>
  <c r="N39" i="1"/>
  <c r="N37" i="1"/>
  <c r="N38" i="1"/>
  <c r="L36" i="1"/>
  <c r="L38" i="1"/>
  <c r="L37" i="1"/>
  <c r="L35" i="1"/>
  <c r="L34" i="1"/>
  <c r="K39" i="1"/>
  <c r="K38" i="1"/>
  <c r="K37" i="1"/>
  <c r="K36" i="1"/>
  <c r="K35" i="1"/>
  <c r="I34" i="1" l="1"/>
  <c r="BA34" i="1" s="1"/>
  <c r="H36" i="1"/>
  <c r="I36" i="1" s="1"/>
  <c r="BA36" i="1" s="1"/>
  <c r="H35" i="1"/>
  <c r="I35" i="1" s="1"/>
  <c r="BA35" i="1" s="1"/>
  <c r="H39" i="1"/>
  <c r="H38" i="1"/>
  <c r="I38" i="1" s="1"/>
  <c r="BA38" i="1" s="1"/>
  <c r="H37" i="1"/>
  <c r="I37" i="1" s="1"/>
  <c r="BA37" i="1" s="1"/>
  <c r="AY43" i="1"/>
  <c r="AY42" i="1"/>
  <c r="AY41" i="1"/>
  <c r="AY40" i="1"/>
  <c r="AY39" i="1"/>
  <c r="AX42" i="1"/>
  <c r="AX43" i="1"/>
  <c r="AX40" i="1"/>
  <c r="AX44" i="1"/>
  <c r="AX41" i="1"/>
  <c r="AV43" i="1"/>
  <c r="AV42" i="1"/>
  <c r="AV41" i="1"/>
  <c r="AV40" i="1"/>
  <c r="AV39" i="1"/>
  <c r="AU43" i="1"/>
  <c r="AU44" i="1"/>
  <c r="AU40" i="1"/>
  <c r="AU41" i="1"/>
  <c r="AU42" i="1"/>
  <c r="AS43" i="1"/>
  <c r="AS42" i="1"/>
  <c r="AS41" i="1"/>
  <c r="AS40" i="1"/>
  <c r="AS39" i="1"/>
  <c r="AR43" i="1"/>
  <c r="AR41" i="1"/>
  <c r="AR40" i="1"/>
  <c r="AR42" i="1"/>
  <c r="AR44" i="1"/>
  <c r="AP43" i="1"/>
  <c r="AP42" i="1"/>
  <c r="AP41" i="1"/>
  <c r="AP40" i="1"/>
  <c r="AP39" i="1"/>
  <c r="AO40" i="1"/>
  <c r="AO42" i="1"/>
  <c r="AO41" i="1"/>
  <c r="AO43" i="1"/>
  <c r="AO44" i="1"/>
  <c r="AM48" i="1"/>
  <c r="AM47" i="1"/>
  <c r="AM46" i="1"/>
  <c r="AM45" i="1"/>
  <c r="AM44" i="1"/>
  <c r="AL47" i="1"/>
  <c r="AL49" i="1"/>
  <c r="AL45" i="1"/>
  <c r="AL46" i="1"/>
  <c r="AL48" i="1"/>
  <c r="AJ43" i="1"/>
  <c r="AJ42" i="1"/>
  <c r="AJ41" i="1"/>
  <c r="AJ40" i="1"/>
  <c r="AJ39" i="1"/>
  <c r="AI40" i="1"/>
  <c r="AI41" i="1"/>
  <c r="AI42" i="1"/>
  <c r="AI43" i="1"/>
  <c r="AI44" i="1"/>
  <c r="AG43" i="1"/>
  <c r="AG42" i="1"/>
  <c r="AG41" i="1"/>
  <c r="AG40" i="1"/>
  <c r="AG39" i="1"/>
  <c r="AF43" i="1"/>
  <c r="AF40" i="1"/>
  <c r="AF44" i="1"/>
  <c r="AF41" i="1"/>
  <c r="AF42" i="1"/>
  <c r="AD43" i="1"/>
  <c r="AD42" i="1"/>
  <c r="AD41" i="1"/>
  <c r="AD40" i="1"/>
  <c r="AD39" i="1"/>
  <c r="AC42" i="1"/>
  <c r="AC44" i="1"/>
  <c r="AC41" i="1"/>
  <c r="AC43" i="1"/>
  <c r="AC40" i="1"/>
  <c r="AA48" i="1"/>
  <c r="AA47" i="1"/>
  <c r="AA46" i="1"/>
  <c r="AA45" i="1"/>
  <c r="AA44" i="1"/>
  <c r="Z46" i="1"/>
  <c r="Z45" i="1"/>
  <c r="Z47" i="1"/>
  <c r="Z48" i="1"/>
  <c r="Z49" i="1"/>
  <c r="X43" i="1"/>
  <c r="X42" i="1"/>
  <c r="X41" i="1"/>
  <c r="X40" i="1"/>
  <c r="X39" i="1"/>
  <c r="W41" i="1"/>
  <c r="W43" i="1"/>
  <c r="W42" i="1"/>
  <c r="W44" i="1"/>
  <c r="W40" i="1"/>
  <c r="U43" i="1"/>
  <c r="U42" i="1"/>
  <c r="U41" i="1"/>
  <c r="U40" i="1"/>
  <c r="U39" i="1"/>
  <c r="T42" i="1"/>
  <c r="T43" i="1"/>
  <c r="T41" i="1"/>
  <c r="T44" i="1"/>
  <c r="T40" i="1"/>
  <c r="R43" i="1"/>
  <c r="R42" i="1"/>
  <c r="R41" i="1"/>
  <c r="R40" i="1"/>
  <c r="R39" i="1"/>
  <c r="Q44" i="1"/>
  <c r="Q41" i="1"/>
  <c r="Q40" i="1"/>
  <c r="Q42" i="1"/>
  <c r="Q43" i="1"/>
  <c r="O43" i="1"/>
  <c r="O42" i="1"/>
  <c r="O41" i="1"/>
  <c r="O40" i="1"/>
  <c r="O39" i="1"/>
  <c r="N40" i="1"/>
  <c r="N41" i="1"/>
  <c r="N42" i="1"/>
  <c r="N43" i="1"/>
  <c r="N44" i="1"/>
  <c r="L43" i="1"/>
  <c r="L42" i="1"/>
  <c r="L41" i="1"/>
  <c r="L40" i="1"/>
  <c r="L39" i="1"/>
  <c r="K44" i="1"/>
  <c r="K43" i="1"/>
  <c r="K42" i="1"/>
  <c r="K41" i="1"/>
  <c r="K40" i="1"/>
  <c r="I39" i="1" l="1"/>
  <c r="BA39" i="1" s="1"/>
  <c r="H42" i="1"/>
  <c r="I42" i="1" s="1"/>
  <c r="BA42" i="1" s="1"/>
  <c r="H44" i="1"/>
  <c r="H43" i="1"/>
  <c r="I43" i="1" s="1"/>
  <c r="BA43" i="1" s="1"/>
  <c r="H41" i="1"/>
  <c r="I41" i="1" s="1"/>
  <c r="BA41" i="1" s="1"/>
  <c r="H40" i="1"/>
  <c r="I40" i="1" s="1"/>
  <c r="BA40" i="1" s="1"/>
  <c r="AY48" i="1"/>
  <c r="AY47" i="1"/>
  <c r="AY46" i="1"/>
  <c r="AY45" i="1"/>
  <c r="AY44" i="1"/>
  <c r="AX45" i="1"/>
  <c r="AX48" i="1"/>
  <c r="AX46" i="1"/>
  <c r="AX49" i="1"/>
  <c r="AX47" i="1"/>
  <c r="AV48" i="1"/>
  <c r="AV47" i="1"/>
  <c r="AV46" i="1"/>
  <c r="AV45" i="1"/>
  <c r="AV44" i="1"/>
  <c r="AU48" i="1"/>
  <c r="AU47" i="1"/>
  <c r="AU46" i="1"/>
  <c r="AU45" i="1"/>
  <c r="AU49" i="1"/>
  <c r="AS48" i="1"/>
  <c r="AS47" i="1"/>
  <c r="AS46" i="1"/>
  <c r="AS45" i="1"/>
  <c r="AS44" i="1"/>
  <c r="AR45" i="1"/>
  <c r="AR47" i="1"/>
  <c r="AR48" i="1"/>
  <c r="AR46" i="1"/>
  <c r="AR49" i="1"/>
  <c r="AP48" i="1"/>
  <c r="AP47" i="1"/>
  <c r="AP46" i="1"/>
  <c r="AP45" i="1"/>
  <c r="AP44" i="1"/>
  <c r="AO47" i="1"/>
  <c r="AO45" i="1"/>
  <c r="AO46" i="1"/>
  <c r="AO48" i="1"/>
  <c r="AO49" i="1"/>
  <c r="AL54" i="1"/>
  <c r="AM53" i="1"/>
  <c r="AL53" i="1"/>
  <c r="AM52" i="1"/>
  <c r="AM51" i="1"/>
  <c r="AM50" i="1"/>
  <c r="AM49" i="1"/>
  <c r="AL52" i="1"/>
  <c r="AL51" i="1"/>
  <c r="AL50" i="1"/>
  <c r="AJ48" i="1"/>
  <c r="AJ47" i="1"/>
  <c r="AJ46" i="1"/>
  <c r="AJ45" i="1"/>
  <c r="AJ44" i="1"/>
  <c r="AI45" i="1"/>
  <c r="AI47" i="1"/>
  <c r="AI48" i="1"/>
  <c r="AI46" i="1"/>
  <c r="AI49" i="1"/>
  <c r="AG48" i="1"/>
  <c r="AG47" i="1"/>
  <c r="AG46" i="1"/>
  <c r="AG45" i="1"/>
  <c r="AG44" i="1"/>
  <c r="AF49" i="1"/>
  <c r="AF47" i="1"/>
  <c r="AF46" i="1"/>
  <c r="AF45" i="1"/>
  <c r="AF48" i="1"/>
  <c r="AD48" i="1"/>
  <c r="AD47" i="1"/>
  <c r="AD46" i="1"/>
  <c r="AD45" i="1"/>
  <c r="AD44" i="1"/>
  <c r="AC48" i="1"/>
  <c r="AC45" i="1"/>
  <c r="AC49" i="1"/>
  <c r="AC47" i="1"/>
  <c r="AC46" i="1"/>
  <c r="Z54" i="1"/>
  <c r="AA53" i="1"/>
  <c r="Z53" i="1"/>
  <c r="AA52" i="1"/>
  <c r="AA51" i="1"/>
  <c r="AA50" i="1"/>
  <c r="AA49" i="1"/>
  <c r="Z50" i="1"/>
  <c r="Z51" i="1"/>
  <c r="Z52" i="1"/>
  <c r="X48" i="1"/>
  <c r="X47" i="1"/>
  <c r="X46" i="1"/>
  <c r="X45" i="1"/>
  <c r="X44" i="1"/>
  <c r="W49" i="1"/>
  <c r="W48" i="1"/>
  <c r="W47" i="1"/>
  <c r="W46" i="1"/>
  <c r="W45" i="1"/>
  <c r="U48" i="1"/>
  <c r="U47" i="1"/>
  <c r="U46" i="1"/>
  <c r="U45" i="1"/>
  <c r="U44" i="1"/>
  <c r="T48" i="1"/>
  <c r="T49" i="1"/>
  <c r="T45" i="1"/>
  <c r="T47" i="1"/>
  <c r="T46" i="1"/>
  <c r="R48" i="1"/>
  <c r="R47" i="1"/>
  <c r="R46" i="1"/>
  <c r="R45" i="1"/>
  <c r="R44" i="1"/>
  <c r="Q48" i="1"/>
  <c r="Q49" i="1"/>
  <c r="Q46" i="1"/>
  <c r="Q47" i="1"/>
  <c r="Q45" i="1"/>
  <c r="O48" i="1"/>
  <c r="O47" i="1"/>
  <c r="O46" i="1"/>
  <c r="O45" i="1"/>
  <c r="O44" i="1"/>
  <c r="N45" i="1"/>
  <c r="N46" i="1"/>
  <c r="N47" i="1"/>
  <c r="N48" i="1"/>
  <c r="N49" i="1"/>
  <c r="L48" i="1"/>
  <c r="L47" i="1"/>
  <c r="L46" i="1"/>
  <c r="L45" i="1"/>
  <c r="L44" i="1"/>
  <c r="K49" i="1"/>
  <c r="K48" i="1"/>
  <c r="K47" i="1"/>
  <c r="K46" i="1"/>
  <c r="K45" i="1"/>
  <c r="I44" i="1" l="1"/>
  <c r="BA44" i="1" s="1"/>
  <c r="H49" i="1"/>
  <c r="H47" i="1"/>
  <c r="I47" i="1" s="1"/>
  <c r="BA47" i="1" s="1"/>
  <c r="H45" i="1"/>
  <c r="I45" i="1" s="1"/>
  <c r="BA45" i="1" s="1"/>
  <c r="H48" i="1"/>
  <c r="I48" i="1" s="1"/>
  <c r="BA48" i="1" s="1"/>
  <c r="H46" i="1"/>
  <c r="I46" i="1" s="1"/>
  <c r="BA46" i="1" s="1"/>
  <c r="AX54" i="1"/>
  <c r="AY53" i="1"/>
  <c r="AX53" i="1"/>
  <c r="AY52" i="1"/>
  <c r="AX52" i="1"/>
  <c r="AY51" i="1"/>
  <c r="AY50" i="1"/>
  <c r="AY49" i="1"/>
  <c r="AX50" i="1"/>
  <c r="AX51" i="1"/>
  <c r="AU54" i="1"/>
  <c r="AV53" i="1"/>
  <c r="AU53" i="1"/>
  <c r="AV52" i="1"/>
  <c r="AU52" i="1"/>
  <c r="AV51" i="1"/>
  <c r="AV50" i="1"/>
  <c r="AV49" i="1"/>
  <c r="AU50" i="1"/>
  <c r="AU51" i="1"/>
  <c r="AR54" i="1"/>
  <c r="AS53" i="1"/>
  <c r="AR53" i="1"/>
  <c r="AS52" i="1"/>
  <c r="AS51" i="1"/>
  <c r="AS50" i="1"/>
  <c r="AS49" i="1"/>
  <c r="AR51" i="1"/>
  <c r="AR50" i="1"/>
  <c r="AR52" i="1"/>
  <c r="AO54" i="1"/>
  <c r="AP53" i="1"/>
  <c r="AO53" i="1"/>
  <c r="AP52" i="1"/>
  <c r="AP51" i="1"/>
  <c r="AP50" i="1"/>
  <c r="AP49" i="1"/>
  <c r="AO50" i="1"/>
  <c r="AO51" i="1"/>
  <c r="AO52" i="1"/>
  <c r="AL59" i="1"/>
  <c r="AL58" i="1"/>
  <c r="AM54" i="1"/>
  <c r="AL55" i="1"/>
  <c r="AM55" i="1"/>
  <c r="AL56" i="1"/>
  <c r="AM56" i="1"/>
  <c r="AL57" i="1"/>
  <c r="AM57" i="1"/>
  <c r="AM58" i="1"/>
  <c r="AI54" i="1"/>
  <c r="AJ53" i="1"/>
  <c r="AI53" i="1"/>
  <c r="AJ52" i="1"/>
  <c r="AJ51" i="1"/>
  <c r="AJ50" i="1"/>
  <c r="AJ49" i="1"/>
  <c r="AI51" i="1"/>
  <c r="AI52" i="1"/>
  <c r="AI50" i="1"/>
  <c r="AF54" i="1"/>
  <c r="AG53" i="1"/>
  <c r="AF53" i="1"/>
  <c r="AG52" i="1"/>
  <c r="AG51" i="1"/>
  <c r="AG50" i="1"/>
  <c r="AG49" i="1"/>
  <c r="AF50" i="1"/>
  <c r="AF52" i="1"/>
  <c r="AF51" i="1"/>
  <c r="AC54" i="1"/>
  <c r="AD53" i="1"/>
  <c r="AC53" i="1"/>
  <c r="AD52" i="1"/>
  <c r="AD51" i="1"/>
  <c r="AD50" i="1"/>
  <c r="AD49" i="1"/>
  <c r="AC52" i="1"/>
  <c r="AC51" i="1"/>
  <c r="AC50" i="1"/>
  <c r="Z59" i="1"/>
  <c r="Z58" i="1"/>
  <c r="AA54" i="1"/>
  <c r="Z55" i="1"/>
  <c r="AA55" i="1"/>
  <c r="Z56" i="1"/>
  <c r="AA56" i="1"/>
  <c r="Z57" i="1"/>
  <c r="AA57" i="1"/>
  <c r="AA58" i="1"/>
  <c r="W54" i="1"/>
  <c r="X53" i="1"/>
  <c r="W53" i="1"/>
  <c r="X52" i="1"/>
  <c r="X51" i="1"/>
  <c r="X50" i="1"/>
  <c r="X49" i="1"/>
  <c r="W52" i="1"/>
  <c r="W51" i="1"/>
  <c r="W50" i="1"/>
  <c r="T54" i="1"/>
  <c r="U53" i="1"/>
  <c r="T53" i="1"/>
  <c r="U52" i="1"/>
  <c r="U51" i="1"/>
  <c r="U50" i="1"/>
  <c r="U49" i="1"/>
  <c r="T52" i="1"/>
  <c r="T51" i="1"/>
  <c r="T50" i="1"/>
  <c r="Q54" i="1"/>
  <c r="R53" i="1"/>
  <c r="Q53" i="1"/>
  <c r="R52" i="1"/>
  <c r="R51" i="1"/>
  <c r="R50" i="1"/>
  <c r="R49" i="1"/>
  <c r="Q51" i="1"/>
  <c r="Q50" i="1"/>
  <c r="Q52" i="1"/>
  <c r="N54" i="1"/>
  <c r="O53" i="1"/>
  <c r="N53" i="1"/>
  <c r="O52" i="1"/>
  <c r="O51" i="1"/>
  <c r="O50" i="1"/>
  <c r="O49" i="1"/>
  <c r="N50" i="1"/>
  <c r="N51" i="1"/>
  <c r="N52" i="1"/>
  <c r="K54" i="1"/>
  <c r="L53" i="1"/>
  <c r="K53" i="1"/>
  <c r="L52" i="1"/>
  <c r="L51" i="1"/>
  <c r="L50" i="1"/>
  <c r="L49" i="1"/>
  <c r="K52" i="1"/>
  <c r="K51" i="1"/>
  <c r="K50" i="1"/>
  <c r="H53" i="1" l="1"/>
  <c r="I53" i="1" s="1"/>
  <c r="BA53" i="1" s="1"/>
  <c r="H52" i="1"/>
  <c r="I52" i="1" s="1"/>
  <c r="BA52" i="1" s="1"/>
  <c r="H54" i="1"/>
  <c r="I49" i="1"/>
  <c r="BA49" i="1" s="1"/>
  <c r="H51" i="1"/>
  <c r="I51" i="1" s="1"/>
  <c r="BA51" i="1" s="1"/>
  <c r="H50" i="1"/>
  <c r="I50" i="1" s="1"/>
  <c r="BA50" i="1" s="1"/>
  <c r="AX59" i="1"/>
  <c r="AX56" i="1"/>
  <c r="AX57" i="1"/>
  <c r="AX58" i="1"/>
  <c r="AY54" i="1"/>
  <c r="AX55" i="1"/>
  <c r="AY55" i="1"/>
  <c r="AY56" i="1"/>
  <c r="AY57" i="1"/>
  <c r="AY58" i="1"/>
  <c r="AU58" i="1"/>
  <c r="AU59" i="1"/>
  <c r="AV54" i="1"/>
  <c r="AU55" i="1"/>
  <c r="AV55" i="1"/>
  <c r="AU56" i="1"/>
  <c r="AV56" i="1"/>
  <c r="AU57" i="1"/>
  <c r="AV57" i="1"/>
  <c r="AV58" i="1"/>
  <c r="AR59" i="1"/>
  <c r="AR58" i="1"/>
  <c r="AS54" i="1"/>
  <c r="AR55" i="1"/>
  <c r="AS55" i="1"/>
  <c r="AR56" i="1"/>
  <c r="AS56" i="1"/>
  <c r="AR57" i="1"/>
  <c r="AS57" i="1"/>
  <c r="AS58" i="1"/>
  <c r="AO57" i="1"/>
  <c r="AO58" i="1"/>
  <c r="AO59" i="1"/>
  <c r="AP54" i="1"/>
  <c r="AO55" i="1"/>
  <c r="AP55" i="1"/>
  <c r="AO56" i="1"/>
  <c r="AP56" i="1"/>
  <c r="AP57" i="1"/>
  <c r="AP58" i="1"/>
  <c r="AM62" i="1"/>
  <c r="AM61" i="1"/>
  <c r="AM63" i="1"/>
  <c r="AL61" i="1"/>
  <c r="AL63" i="1"/>
  <c r="AL62" i="1"/>
  <c r="AM60" i="1"/>
  <c r="AM59" i="1"/>
  <c r="AL60" i="1"/>
  <c r="AI57" i="1"/>
  <c r="AI59" i="1"/>
  <c r="AI58" i="1"/>
  <c r="AJ54" i="1"/>
  <c r="AI55" i="1"/>
  <c r="AJ55" i="1"/>
  <c r="AI56" i="1"/>
  <c r="AJ56" i="1"/>
  <c r="AJ57" i="1"/>
  <c r="AJ58" i="1"/>
  <c r="AF59" i="1"/>
  <c r="AF58" i="1"/>
  <c r="AG54" i="1"/>
  <c r="AF55" i="1"/>
  <c r="AG55" i="1"/>
  <c r="AF56" i="1"/>
  <c r="AG56" i="1"/>
  <c r="AF57" i="1"/>
  <c r="AG57" i="1"/>
  <c r="AG58" i="1"/>
  <c r="AC59" i="1"/>
  <c r="AC58" i="1"/>
  <c r="AD54" i="1"/>
  <c r="AC55" i="1"/>
  <c r="AD55" i="1"/>
  <c r="AC56" i="1"/>
  <c r="AD56" i="1"/>
  <c r="AC57" i="1"/>
  <c r="AD57" i="1"/>
  <c r="AD58" i="1"/>
  <c r="AA62" i="1"/>
  <c r="AA61" i="1"/>
  <c r="AA63" i="1"/>
  <c r="Z61" i="1"/>
  <c r="Z63" i="1"/>
  <c r="Z62" i="1"/>
  <c r="AA60" i="1"/>
  <c r="AA59" i="1"/>
  <c r="Z60" i="1"/>
  <c r="W59" i="1"/>
  <c r="W58" i="1"/>
  <c r="X54" i="1"/>
  <c r="W55" i="1"/>
  <c r="X55" i="1"/>
  <c r="W56" i="1"/>
  <c r="X56" i="1"/>
  <c r="W57" i="1"/>
  <c r="X57" i="1"/>
  <c r="X58" i="1"/>
  <c r="T59" i="1"/>
  <c r="T58" i="1"/>
  <c r="U54" i="1"/>
  <c r="T55" i="1"/>
  <c r="U55" i="1"/>
  <c r="T56" i="1"/>
  <c r="U56" i="1"/>
  <c r="T57" i="1"/>
  <c r="U57" i="1"/>
  <c r="U58" i="1"/>
  <c r="Q58" i="1"/>
  <c r="Q59" i="1"/>
  <c r="R54" i="1"/>
  <c r="Q55" i="1"/>
  <c r="R55" i="1"/>
  <c r="Q56" i="1"/>
  <c r="R56" i="1"/>
  <c r="Q57" i="1"/>
  <c r="R57" i="1"/>
  <c r="R58" i="1"/>
  <c r="N58" i="1"/>
  <c r="N59" i="1"/>
  <c r="O54" i="1"/>
  <c r="N55" i="1"/>
  <c r="O55" i="1"/>
  <c r="N56" i="1"/>
  <c r="O56" i="1"/>
  <c r="N57" i="1"/>
  <c r="O57" i="1"/>
  <c r="O58" i="1"/>
  <c r="K59" i="1"/>
  <c r="K58" i="1"/>
  <c r="L54" i="1"/>
  <c r="K55" i="1"/>
  <c r="L55" i="1"/>
  <c r="K56" i="1"/>
  <c r="L56" i="1"/>
  <c r="K57" i="1"/>
  <c r="L57" i="1"/>
  <c r="L58" i="1"/>
  <c r="H58" i="1" l="1"/>
  <c r="H59" i="1"/>
  <c r="I54" i="1"/>
  <c r="BA54" i="1" s="1"/>
  <c r="H55" i="1"/>
  <c r="I55" i="1" s="1"/>
  <c r="BA55" i="1" s="1"/>
  <c r="H56" i="1"/>
  <c r="I56" i="1" s="1"/>
  <c r="BA56" i="1" s="1"/>
  <c r="I58" i="1"/>
  <c r="BA58" i="1" s="1"/>
  <c r="H57" i="1"/>
  <c r="I57" i="1" s="1"/>
  <c r="BA57" i="1" s="1"/>
  <c r="AY61" i="1"/>
  <c r="AX61" i="1"/>
  <c r="AY63" i="1"/>
  <c r="AY62" i="1"/>
  <c r="AX62" i="1"/>
  <c r="AX63" i="1"/>
  <c r="AY60" i="1"/>
  <c r="AY59" i="1"/>
  <c r="AX60" i="1"/>
  <c r="AV62" i="1"/>
  <c r="AU63" i="1"/>
  <c r="AU62" i="1"/>
  <c r="AV61" i="1"/>
  <c r="AU61" i="1"/>
  <c r="AV63" i="1"/>
  <c r="AV60" i="1"/>
  <c r="AV59" i="1"/>
  <c r="AU60" i="1"/>
  <c r="AS61" i="1"/>
  <c r="AR62" i="1"/>
  <c r="AR61" i="1"/>
  <c r="AS63" i="1"/>
  <c r="AR63" i="1"/>
  <c r="AS62" i="1"/>
  <c r="AS60" i="1"/>
  <c r="AS59" i="1"/>
  <c r="AR60" i="1"/>
  <c r="AP63" i="1"/>
  <c r="AP62" i="1"/>
  <c r="AP61" i="1"/>
  <c r="AO62" i="1"/>
  <c r="AO61" i="1"/>
  <c r="AO63" i="1"/>
  <c r="AP60" i="1"/>
  <c r="AP59" i="1"/>
  <c r="AO60" i="1"/>
  <c r="AI62" i="1"/>
  <c r="AJ62" i="1"/>
  <c r="AI61" i="1"/>
  <c r="AJ61" i="1"/>
  <c r="AJ63" i="1"/>
  <c r="AI63" i="1"/>
  <c r="AJ60" i="1"/>
  <c r="AJ59" i="1"/>
  <c r="AI60" i="1"/>
  <c r="AG62" i="1"/>
  <c r="AG61" i="1"/>
  <c r="AG63" i="1"/>
  <c r="AF61" i="1"/>
  <c r="AF63" i="1"/>
  <c r="AF62" i="1"/>
  <c r="AG60" i="1"/>
  <c r="AG59" i="1"/>
  <c r="AF60" i="1"/>
  <c r="AC63" i="1"/>
  <c r="AC62" i="1"/>
  <c r="AC61" i="1"/>
  <c r="AD61" i="1"/>
  <c r="AD62" i="1"/>
  <c r="AD63" i="1"/>
  <c r="AD60" i="1"/>
  <c r="AD59" i="1"/>
  <c r="AC60" i="1"/>
  <c r="X61" i="1"/>
  <c r="W63" i="1"/>
  <c r="X62" i="1"/>
  <c r="W62" i="1"/>
  <c r="W61" i="1"/>
  <c r="X63" i="1"/>
  <c r="X60" i="1"/>
  <c r="X59" i="1"/>
  <c r="W60" i="1"/>
  <c r="T62" i="1"/>
  <c r="T61" i="1"/>
  <c r="U61" i="1"/>
  <c r="T63" i="1"/>
  <c r="U63" i="1"/>
  <c r="U62" i="1"/>
  <c r="U60" i="1"/>
  <c r="U59" i="1"/>
  <c r="T60" i="1"/>
  <c r="Q63" i="1"/>
  <c r="R62" i="1"/>
  <c r="Q61" i="1"/>
  <c r="Q62" i="1"/>
  <c r="R61" i="1"/>
  <c r="R63" i="1"/>
  <c r="R60" i="1"/>
  <c r="R59" i="1"/>
  <c r="Q60" i="1"/>
  <c r="N61" i="1"/>
  <c r="N62" i="1"/>
  <c r="O61" i="1"/>
  <c r="O63" i="1"/>
  <c r="N63" i="1"/>
  <c r="O62" i="1"/>
  <c r="O60" i="1"/>
  <c r="O59" i="1"/>
  <c r="N60" i="1"/>
  <c r="L62" i="1"/>
  <c r="K63" i="1"/>
  <c r="K62" i="1"/>
  <c r="L61" i="1"/>
  <c r="L63" i="1"/>
  <c r="K61" i="1"/>
  <c r="L60" i="1"/>
  <c r="L59" i="1"/>
  <c r="K60" i="1"/>
  <c r="I62" i="1" l="1"/>
  <c r="BA62" i="1" s="1"/>
  <c r="H61" i="1"/>
  <c r="H62" i="1"/>
  <c r="H63" i="1"/>
  <c r="I63" i="1"/>
  <c r="BA63" i="1" s="1"/>
  <c r="I61" i="1"/>
  <c r="I60" i="1"/>
  <c r="I59" i="1"/>
  <c r="H60" i="1"/>
  <c r="BA61" i="1"/>
  <c r="BA60" i="1"/>
  <c r="BA59" i="1"/>
</calcChain>
</file>

<file path=xl/sharedStrings.xml><?xml version="1.0" encoding="utf-8"?>
<sst xmlns="http://schemas.openxmlformats.org/spreadsheetml/2006/main" count="644" uniqueCount="517">
  <si>
    <t xml:space="preserve">  MAXEON 415 MF PE AL 40 - SPR-MAX3415-BLK-R</t>
  </si>
  <si>
    <t>Strings/MPPT</t>
  </si>
  <si>
    <t>Total de Painéis</t>
  </si>
  <si>
    <t>Módulo</t>
  </si>
  <si>
    <t>Pot</t>
  </si>
  <si>
    <t>Voc</t>
  </si>
  <si>
    <t>Vmp</t>
  </si>
  <si>
    <t>%</t>
  </si>
  <si>
    <t>Imp</t>
  </si>
  <si>
    <t>Icc</t>
  </si>
  <si>
    <t>sku_p</t>
  </si>
  <si>
    <t>disponivel_p</t>
  </si>
  <si>
    <t>Inversor</t>
  </si>
  <si>
    <t>Pnom</t>
  </si>
  <si>
    <t>Pmax</t>
  </si>
  <si>
    <t>Vmax</t>
  </si>
  <si>
    <t>Vmin</t>
  </si>
  <si>
    <t>Icc 1</t>
  </si>
  <si>
    <t>Icc 2</t>
  </si>
  <si>
    <t>Icc 3</t>
  </si>
  <si>
    <t>Icc 4</t>
  </si>
  <si>
    <t>Icc 5</t>
  </si>
  <si>
    <t>Icc 6</t>
  </si>
  <si>
    <t>Icc 7</t>
  </si>
  <si>
    <t>Icc 8</t>
  </si>
  <si>
    <t>Icc 9</t>
  </si>
  <si>
    <t>Icc 10</t>
  </si>
  <si>
    <t>Icc 11</t>
  </si>
  <si>
    <t>Icc 12</t>
  </si>
  <si>
    <t>Icc 13</t>
  </si>
  <si>
    <t>Icc 14</t>
  </si>
  <si>
    <t>Icc 15</t>
  </si>
  <si>
    <t>Imp 1</t>
  </si>
  <si>
    <t>Imp 2</t>
  </si>
  <si>
    <t>Imp 3</t>
  </si>
  <si>
    <t>Imp 4</t>
  </si>
  <si>
    <t>Imp 5</t>
  </si>
  <si>
    <t>Imp 6</t>
  </si>
  <si>
    <t>Imp 7</t>
  </si>
  <si>
    <t>Imp 8</t>
  </si>
  <si>
    <t>Imp 9</t>
  </si>
  <si>
    <t>Imp 10</t>
  </si>
  <si>
    <t>Imp 11</t>
  </si>
  <si>
    <t>Imp 12</t>
  </si>
  <si>
    <t>Imp 13</t>
  </si>
  <si>
    <t>Imp 14</t>
  </si>
  <si>
    <t>Imp 15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</si>
  <si>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</si>
  <si>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</si>
  <si>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</si>
  <si>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</si>
  <si>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</si>
  <si>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</si>
  <si>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</si>
  <si>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</si>
  <si>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</si>
  <si>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</si>
  <si>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</si>
  <si>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</si>
  <si>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</si>
  <si>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</si>
  <si>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</si>
  <si>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sku_i</t>
  </si>
  <si>
    <t>disponivel_i</t>
  </si>
  <si>
    <t>Pot Painel</t>
  </si>
  <si>
    <t>W</t>
  </si>
  <si>
    <t>MPPT 1</t>
  </si>
  <si>
    <t>MPPT 2</t>
  </si>
  <si>
    <t>MPPT 3</t>
  </si>
  <si>
    <t>MPPT 4</t>
  </si>
  <si>
    <t>MPPT 5</t>
  </si>
  <si>
    <t>MPPT 6</t>
  </si>
  <si>
    <t>MPPT 7</t>
  </si>
  <si>
    <t>MPPT 8</t>
  </si>
  <si>
    <t>MPPT 9</t>
  </si>
  <si>
    <t>MPPT 10</t>
  </si>
  <si>
    <t>MPPT 11</t>
  </si>
  <si>
    <t>MPPT 12</t>
  </si>
  <si>
    <t>MPPT 13</t>
  </si>
  <si>
    <t>MPPT 14</t>
  </si>
  <si>
    <t>MPPT 15</t>
  </si>
  <si>
    <t xml:space="preserve">  Maxeon 530W BIFACIAL - SPR-P6-530-UPP (P-Type)</t>
  </si>
  <si>
    <t>Auxsol ASG-6SL-ZL</t>
  </si>
  <si>
    <t>Voc Painel</t>
  </si>
  <si>
    <t>V</t>
  </si>
  <si>
    <t xml:space="preserve">  Maxeon 535W BIFACIAL - SPR-P6-535-UPP (P-Type)</t>
  </si>
  <si>
    <t>Auxsol ASN-10.5SL-G2</t>
  </si>
  <si>
    <t>Vmp Painel</t>
  </si>
  <si>
    <t xml:space="preserve"> DAH 710W BF TC FG 33 (DHN-66Y18/DG)</t>
  </si>
  <si>
    <t>Auxsol ASN-10SL</t>
  </si>
  <si>
    <t xml:space="preserve"> ERA 710W Eagle Pro-66HD（CF）</t>
  </si>
  <si>
    <t>Auxsol ASN-15TL-G2 100%</t>
  </si>
  <si>
    <t>A</t>
  </si>
  <si>
    <t xml:space="preserve"> GOKIN 615W BIFACIAL N-TYPE (GK-4-66HTBD-615M-F 30MM)</t>
  </si>
  <si>
    <t>Auxsol ASN-15TL-G2 50%</t>
  </si>
  <si>
    <t xml:space="preserve"> RENEPV 620 BF TC FG 30 (ZY-G12RNHB-132)</t>
  </si>
  <si>
    <t>Auxsol ASN-15TL-LV</t>
  </si>
  <si>
    <t>T mínima do ambiente</t>
  </si>
  <si>
    <t>°C</t>
  </si>
  <si>
    <t xml:space="preserve"> RENEPV 620W - ZYG12RNHB132   </t>
  </si>
  <si>
    <t>Auxsol ASN-20TL 100%</t>
  </si>
  <si>
    <t>Voc Painel Corrigida</t>
  </si>
  <si>
    <t xml:space="preserve"> Ronma 610W - RM-600-630W-182R132TB</t>
  </si>
  <si>
    <t>Auxsol ASN-20TL 50%</t>
  </si>
  <si>
    <t>T máxima do painel</t>
  </si>
  <si>
    <t xml:space="preserve"> SolarSpace 590W - SS8-72HD -590N (N-Type Bifacial)</t>
  </si>
  <si>
    <t>Auxsol ASN-25TL 100%</t>
  </si>
  <si>
    <t>Vmp Painel Corrigida</t>
  </si>
  <si>
    <t>TCL 615W N-type Bifacial HSM-ND66-GR615 30mm</t>
  </si>
  <si>
    <t>Auxsol ASN-25TL 50%</t>
  </si>
  <si>
    <t>TRINA 620W BIFACIAL N-TYPE  (TSM-NEG19RC.20  30MM)</t>
  </si>
  <si>
    <t>Auxsol ASN-25TL-LV</t>
  </si>
  <si>
    <t>TRINA 625W BIFACIALN-TYPE (TSM-NEG19RC.20  30MM)</t>
  </si>
  <si>
    <t>Auxsol ASN-30TL-G2 100%</t>
  </si>
  <si>
    <t>P. nominal</t>
  </si>
  <si>
    <t>kW</t>
  </si>
  <si>
    <t>Akcome 550 Mono - CHASER-M10/144P</t>
  </si>
  <si>
    <t>Auxsol ASN-30TL-G2 50%</t>
  </si>
  <si>
    <t>P. Inv Max</t>
  </si>
  <si>
    <t>Canadian 370 poli - CS3U-370P</t>
  </si>
  <si>
    <t>Auxsol ASN-3SL</t>
  </si>
  <si>
    <t>Vmax Entrada</t>
  </si>
  <si>
    <t>Canadian 400 Poli - CS3W-P</t>
  </si>
  <si>
    <t>Auxsol ASN-40TL</t>
  </si>
  <si>
    <t>Vmin MPPT</t>
  </si>
  <si>
    <t>Canadian 405 Poli - CS3W-P</t>
  </si>
  <si>
    <t>Auxsol ASN-4SL-G2</t>
  </si>
  <si>
    <t>Canadian 420 Poli - CS3W-P</t>
  </si>
  <si>
    <t>Auxsol ASN-5SL-G2</t>
  </si>
  <si>
    <t>Max Painéis/Inv</t>
  </si>
  <si>
    <t>Canadian 435 Mono - CS3S-MS</t>
  </si>
  <si>
    <t>Auxsol ASN-6SL-G2</t>
  </si>
  <si>
    <t>Pmax de Painéis no Inversor</t>
  </si>
  <si>
    <t xml:space="preserve">  W</t>
  </si>
  <si>
    <t>Canadian 440 Mono - CS3S-MS</t>
  </si>
  <si>
    <t>Auxsol ASN-7.5SL</t>
  </si>
  <si>
    <t>Canadian 445 Mono - CS3S-MS</t>
  </si>
  <si>
    <t>Auxsol ASN-75TL-G2</t>
  </si>
  <si>
    <t>Mín Painéis/Inv</t>
  </si>
  <si>
    <t>Canadian 450 Mono - CS3W-MS</t>
  </si>
  <si>
    <t>Auxsol ASN-75TL-LV-PLUS</t>
  </si>
  <si>
    <t>Pmín Inv</t>
  </si>
  <si>
    <t>Canadian 455 Mono - CS3W-MS</t>
  </si>
  <si>
    <t>Canadian CSI-100K-TG400GL02-E</t>
  </si>
  <si>
    <t>Canadian 535 Mono - CS6W-MS</t>
  </si>
  <si>
    <t>Canadian CSI-110K-TG400GL02-E</t>
  </si>
  <si>
    <t>Max Painel/String</t>
  </si>
  <si>
    <t>Consort 550W Bifacial - CST-M1072GDF</t>
  </si>
  <si>
    <t>Canadian CSI-15K-T400GL01-E*</t>
  </si>
  <si>
    <t>Max Painéis por Potência</t>
  </si>
  <si>
    <t>CS6W-550MS</t>
  </si>
  <si>
    <t>Canadian CSI-20K-T400GL01-E</t>
  </si>
  <si>
    <t>DAH 550 Mono - DHM-72X10</t>
  </si>
  <si>
    <t>Canadian CSI-20KTL-GI-LFL (220)</t>
  </si>
  <si>
    <t>DAH 610 Bifacial - DHN-66Z16</t>
  </si>
  <si>
    <t>Canadian CSI-250K-T800 1A-E</t>
  </si>
  <si>
    <t>DAH 700 Bifacial -  DHJ-66Y18DG</t>
  </si>
  <si>
    <t>Canadian CSI-25K-T220GL03-E</t>
  </si>
  <si>
    <t xml:space="preserve">DAH 700W BIFACIAL HJT DHJ-66Y24/DG </t>
  </si>
  <si>
    <t>Canadian CSI-25K-TG400GL02-E</t>
  </si>
  <si>
    <t>Max de "strings" na MPPT 1</t>
  </si>
  <si>
    <t>DAH Mono 440 - DHM-72L9</t>
  </si>
  <si>
    <t>Canadian CSI-25KTL-GI-L* (220)</t>
  </si>
  <si>
    <t>Max de "strings" na MPPT 2</t>
  </si>
  <si>
    <t>DAH Mono 540 - DHM-72X10</t>
  </si>
  <si>
    <t>Canadian CSI-30K-T220GL03-E</t>
  </si>
  <si>
    <t>Max de "strings" na MPPT 3</t>
  </si>
  <si>
    <t>DAH Mono 545 - DHM-72X10</t>
  </si>
  <si>
    <t>Canadian CSI-30K-TG400GL02-E</t>
  </si>
  <si>
    <t>Max de "strings" na MPPT 4</t>
  </si>
  <si>
    <t>DAH Mono 555 - DHM-72X10</t>
  </si>
  <si>
    <t>Canadian CSI-30KTL-GI-L (220)</t>
  </si>
  <si>
    <t>Max de "strings" na MPPT 5</t>
  </si>
  <si>
    <t>DAH Mono Bifacial 450W DHM-72L9/BF</t>
  </si>
  <si>
    <t>Canadian CSI-3K-S22002-ED</t>
  </si>
  <si>
    <t>Max de "strings" na MPPT 6</t>
  </si>
  <si>
    <t>DAH Poli 360 - HCP72X9</t>
  </si>
  <si>
    <t>Canadian CSI-50KTL-GI</t>
  </si>
  <si>
    <t>Max de "strings" na MPPT 7</t>
  </si>
  <si>
    <t>DAH Poli 400 - HCP78X9</t>
  </si>
  <si>
    <t>Canadian CSI-5K-22002-ED</t>
  </si>
  <si>
    <t>Max de "strings" na MPPT 8</t>
  </si>
  <si>
    <t>DMEGC 560W - DM560M10-72HSWHBW (P-Type) Monofacial</t>
  </si>
  <si>
    <t>Canadian CSI-5K-S22002-E</t>
  </si>
  <si>
    <t>Max de "strings" na MPPT 9</t>
  </si>
  <si>
    <t>DMEGC 585W - DM585M10T-B72HSW (N-Type) Bifacial</t>
  </si>
  <si>
    <t>Canadian CSI-5KTL1P-FL*</t>
  </si>
  <si>
    <t>Max de "strings" na MPPT 10</t>
  </si>
  <si>
    <t>EGING PV 610W BIFACIAL N-TYPE TOPCON (EG-NT66-HRc/BF-DG 30MM)</t>
  </si>
  <si>
    <t>Canadian CSI-60KTL-GI*</t>
  </si>
  <si>
    <t>Max de "strings" na MPPT 11</t>
  </si>
  <si>
    <t>ERA 590W Pro-72HD(CF)</t>
  </si>
  <si>
    <t>Canadian CSI-75K-T400GL02-E</t>
  </si>
  <si>
    <t>Max de "strings" na MPPT 12</t>
  </si>
  <si>
    <t>GCL Mono 375W</t>
  </si>
  <si>
    <t>Canadian CSI-7K-S22002-E</t>
  </si>
  <si>
    <t>Max de "strings" na MPPT 13</t>
  </si>
  <si>
    <t>GCL Mono 400W</t>
  </si>
  <si>
    <t>Canadian CSI-7K-S22002-ED*</t>
  </si>
  <si>
    <t>Max de "strings" na MPPT 14</t>
  </si>
  <si>
    <t>GK-2-66HJBD-700M</t>
  </si>
  <si>
    <t>Canadian CSI-8KTL1P-GI-FL*</t>
  </si>
  <si>
    <t>Max de "strings" na MPPT 15</t>
  </si>
  <si>
    <t>Gokin 570 - GK-1-72HT 570 (N-type)</t>
  </si>
  <si>
    <t>Canadian CSI-9K-S22002-E</t>
  </si>
  <si>
    <t>Gokin 585W - GK-1-72HTBD (N-type)</t>
  </si>
  <si>
    <t>GE 3.6</t>
  </si>
  <si>
    <t>HAITAI 590W - HTM5900DMH5-72</t>
  </si>
  <si>
    <t>GE 5.0</t>
  </si>
  <si>
    <t>Hanersun 585W - HN18N-72H585W</t>
  </si>
  <si>
    <t>GE 7.0</t>
  </si>
  <si>
    <t>Hanersun 610W - HN21RN-66HT610W (N-Type) Bifacial</t>
  </si>
  <si>
    <t>GE 9.0</t>
  </si>
  <si>
    <t>Hanersun 670W - HN21-66HT670W (Bifacial)</t>
  </si>
  <si>
    <t>Growatt 8000MTL-S</t>
  </si>
  <si>
    <t>Hanersun 690W - HN21N-66HT (N-Type) Bifacial</t>
  </si>
  <si>
    <t>Growatt MID 17KTL3-X</t>
  </si>
  <si>
    <t>Hanersun 700 Bifacial -  HN21H-66HT</t>
  </si>
  <si>
    <t>Growatt MID 25</t>
  </si>
  <si>
    <t>Referência</t>
  </si>
  <si>
    <t>Hanersun 700W - HN21N-66HT700W</t>
  </si>
  <si>
    <t>Growatt MIN 4200TL-X</t>
  </si>
  <si>
    <t>Pot Alcançada</t>
  </si>
  <si>
    <t>HYSOLAR 600W BIFACIAL N-TYPE (HY-NT10/72GDF 30MM)</t>
  </si>
  <si>
    <t>Hoymiles HIS-6L-G3</t>
  </si>
  <si>
    <t>HYSOLAR 610W - HY-NT11/66GDF</t>
  </si>
  <si>
    <t>Hoymiles HYS-7.5LV-USG1</t>
  </si>
  <si>
    <t>HYSOLAR 615 BF TC AL 30 (HY-NT11/66GDF)</t>
  </si>
  <si>
    <t>Huawei SUN2000-100KTL-M2</t>
  </si>
  <si>
    <t>JETION 700W BIFACIAL HJT (JT710SLkB 35MM)</t>
  </si>
  <si>
    <r>
      <rPr>
        <sz val="11"/>
        <color theme="1"/>
        <rFont val="Calibri"/>
      </rPr>
      <t xml:space="preserve">Huawei SUN2000-100KTL-M2 </t>
    </r>
    <r>
      <rPr>
        <b/>
        <sz val="11"/>
        <color theme="1"/>
        <rFont val="Calibri"/>
      </rPr>
      <t>50%</t>
    </r>
  </si>
  <si>
    <t>Menor Imp/String</t>
  </si>
  <si>
    <t>Jinko - JMPV- X1/72-560</t>
  </si>
  <si>
    <t>Huawei SUN2000-10K-LCO</t>
  </si>
  <si>
    <t>Jinko 310 JKM310P</t>
  </si>
  <si>
    <r>
      <rPr>
        <sz val="11"/>
        <color theme="1"/>
        <rFont val="Calibri"/>
      </rPr>
      <t xml:space="preserve">Huawei SUN2000-10K-LCO </t>
    </r>
    <r>
      <rPr>
        <b/>
        <sz val="11"/>
        <color theme="1"/>
        <rFont val="Calibri"/>
      </rPr>
      <t>50%</t>
    </r>
  </si>
  <si>
    <t xml:space="preserve">Leapton Bifacial 585W - LP182-M-72-NB </t>
  </si>
  <si>
    <t>Huawei SUN2000-12K-MB0</t>
  </si>
  <si>
    <t>Leapton Mono 460</t>
  </si>
  <si>
    <t>Huawei SUN2000-15KTL-M5</t>
  </si>
  <si>
    <t>Leapton Mono 550 - LP182*182-M</t>
  </si>
  <si>
    <r>
      <rPr>
        <sz val="11"/>
        <color theme="1"/>
        <rFont val="Calibri"/>
      </rPr>
      <t xml:space="preserve">Huawei SUN2000-15KTL-M5 </t>
    </r>
    <r>
      <rPr>
        <b/>
        <sz val="11"/>
        <color theme="1"/>
        <rFont val="Calibri"/>
      </rPr>
      <t>50%</t>
    </r>
  </si>
  <si>
    <t>Leapton Mono 560 - LP182.182-M-72-MH (P-Type)</t>
  </si>
  <si>
    <t>Huawei SUN2000-20KTL-BRM3</t>
  </si>
  <si>
    <t>Icc na MPPT 1</t>
  </si>
  <si>
    <t>Utilizado</t>
  </si>
  <si>
    <t>Leapton Mono 560 - LP182.199-M-66-NH (N-Type)</t>
  </si>
  <si>
    <t>Huawei SUN2000-20KTL-M5</t>
  </si>
  <si>
    <t>Icc na MPPT 2</t>
  </si>
  <si>
    <t>Livre</t>
  </si>
  <si>
    <t xml:space="preserve">Leapton Mono 580W - LP182-M-72-NB </t>
  </si>
  <si>
    <r>
      <rPr>
        <sz val="11"/>
        <color theme="1"/>
        <rFont val="Calibri"/>
      </rPr>
      <t xml:space="preserve">Huawei SUN2000-20KTL-M5 </t>
    </r>
    <r>
      <rPr>
        <b/>
        <sz val="11"/>
        <color theme="1"/>
        <rFont val="Calibri"/>
      </rPr>
      <t>50%</t>
    </r>
  </si>
  <si>
    <t>Icc na MPPT 3</t>
  </si>
  <si>
    <t>Leapton Mono 585 - LP182.199-M-66-NH (N-Type) Monofacial</t>
  </si>
  <si>
    <t>Huawei SUN2000-250KTL-H1</t>
  </si>
  <si>
    <t>Icc na MPPT 4</t>
  </si>
  <si>
    <t>Leapton Mono 590 - LP182.182-M-78-MH (P-Type)</t>
  </si>
  <si>
    <r>
      <rPr>
        <sz val="11"/>
        <color theme="1"/>
        <rFont val="Calibri"/>
      </rPr>
      <t xml:space="preserve">Huawei SUN2000-250KTL-H1 </t>
    </r>
    <r>
      <rPr>
        <b/>
        <sz val="11"/>
        <color theme="1"/>
        <rFont val="Calibri"/>
      </rPr>
      <t>50%</t>
    </r>
  </si>
  <si>
    <t>Icc na MPPT 5</t>
  </si>
  <si>
    <t>Leapton Mono 590 - LP182.199-M-66-NH (N-Type)</t>
  </si>
  <si>
    <t>Huawei SUN2000-25KTL-M5</t>
  </si>
  <si>
    <t>Icc na MPPT 6</t>
  </si>
  <si>
    <t>Leapton Mono 595 - LP182.182-M-72-NH (N-Type)</t>
  </si>
  <si>
    <r>
      <rPr>
        <sz val="11"/>
        <color theme="1"/>
        <rFont val="Calibri"/>
      </rPr>
      <t xml:space="preserve">Huawei SUN2000-25KTL-M5 </t>
    </r>
    <r>
      <rPr>
        <b/>
        <sz val="11"/>
        <color theme="1"/>
        <rFont val="Calibri"/>
      </rPr>
      <t>50%</t>
    </r>
  </si>
  <si>
    <t>Icc na MPPT 7</t>
  </si>
  <si>
    <t>Leapton Mono 610 - LP182.210-M-66-NB (N-Type) Bifacial</t>
  </si>
  <si>
    <t>Huawei SUN2000-30KTL-M3</t>
  </si>
  <si>
    <t>Icc na MPPT 8</t>
  </si>
  <si>
    <t>Leapton Mono 610 - LP182.210-M-66-NH (N-Type) Monofacial</t>
  </si>
  <si>
    <t>Huawei SUN2000-3KTL-L1</t>
  </si>
  <si>
    <t>Icc na MPPT 9</t>
  </si>
  <si>
    <t>Leapton Mono 650 - LP210*210-M-66-MH</t>
  </si>
  <si>
    <r>
      <rPr>
        <sz val="11"/>
        <color theme="1"/>
        <rFont val="Calibri"/>
      </rPr>
      <t xml:space="preserve">Huawei SUN2000-3KTL-L1 </t>
    </r>
    <r>
      <rPr>
        <b/>
        <sz val="11"/>
        <color theme="1"/>
        <rFont val="Calibri"/>
      </rPr>
      <t>50%</t>
    </r>
  </si>
  <si>
    <t>Icc na MPPT 10</t>
  </si>
  <si>
    <t>Leapton Mono 665 - LP210-M-66-MH</t>
  </si>
  <si>
    <t>Huawei SUN2000-4KTL-L1</t>
  </si>
  <si>
    <t>Icc na MPPT 11</t>
  </si>
  <si>
    <t>Leapton Mono 670 - LP210-M-66-MB 670W (P-Type) Bifacia</t>
  </si>
  <si>
    <t>Icc na MPPT 12</t>
  </si>
  <si>
    <t>Leapton Mono 700 - LP210-M-66-NB (N-Type) Bifacial</t>
  </si>
  <si>
    <t>Huawei SUN2000-50KTL-M3</t>
  </si>
  <si>
    <t>Icc na MPPT 13</t>
  </si>
  <si>
    <t>Leapton Panther 570 - LP182.199-M-66-NH (N-Type) Monofacial</t>
  </si>
  <si>
    <t>Huawei SUN2000-5KTL-L1</t>
  </si>
  <si>
    <t>Icc na MPPT 14</t>
  </si>
  <si>
    <t>Leapton Panther 585 - LP182.199-M-66-NH (N-Type) Monofacial</t>
  </si>
  <si>
    <r>
      <rPr>
        <sz val="11"/>
        <color theme="1"/>
        <rFont val="Calibri"/>
      </rPr>
      <t xml:space="preserve">Huawei SUN2000-5KTL-L1 </t>
    </r>
    <r>
      <rPr>
        <b/>
        <sz val="11"/>
        <color theme="1"/>
        <rFont val="Calibri"/>
      </rPr>
      <t>50%</t>
    </r>
  </si>
  <si>
    <t>Icc na MPPT 15</t>
  </si>
  <si>
    <t>Leapton Panther 620 - LP182.199-M-72-NB (N-Type) Bifacial</t>
  </si>
  <si>
    <t>Huawei SUN2000-60KTL-M0 100%</t>
  </si>
  <si>
    <t>Leapton Panther 620 - LP182.210-M-66-NB (N-Type) Bifacial (Novo)</t>
  </si>
  <si>
    <t>Huawei SUN2000-6KTL-L1</t>
  </si>
  <si>
    <t>Leapton Panther 620 - LP182.210-M-66-NH</t>
  </si>
  <si>
    <r>
      <rPr>
        <sz val="11"/>
        <color theme="1"/>
        <rFont val="Calibri"/>
      </rPr>
      <t xml:space="preserve">Huawei SUN2000-6KTL-L1 </t>
    </r>
    <r>
      <rPr>
        <b/>
        <sz val="11"/>
        <color theme="1"/>
        <rFont val="Calibri"/>
      </rPr>
      <t>50%</t>
    </r>
  </si>
  <si>
    <t>Leapton Panther 690 - LP210.210-M-66-NB (N-Type) Bifacial</t>
  </si>
  <si>
    <t>Huawei SUN2000-7.5K-LC0</t>
  </si>
  <si>
    <t>Imp na MPPT 1</t>
  </si>
  <si>
    <t>Longi LR4-72HBD 445M</t>
  </si>
  <si>
    <t>Huawei SUN2000-75K-MGL0-BR</t>
  </si>
  <si>
    <t>Imp na MPPT 2</t>
  </si>
  <si>
    <t>Longi LR4-72HBD 450M</t>
  </si>
  <si>
    <t>Huawei SUN2000-75KTL-M1</t>
  </si>
  <si>
    <t>Imp na MPPT 3</t>
  </si>
  <si>
    <t>Longi LR4-72HBD 455M</t>
  </si>
  <si>
    <r>
      <rPr>
        <sz val="11"/>
        <color theme="1"/>
        <rFont val="Calibri"/>
      </rPr>
      <t xml:space="preserve">Huawei SUN2000-75KTL-M1 </t>
    </r>
    <r>
      <rPr>
        <b/>
        <sz val="11"/>
        <color theme="1"/>
        <rFont val="Calibri"/>
      </rPr>
      <t>50%</t>
    </r>
  </si>
  <si>
    <t>Imp na MPPT 4</t>
  </si>
  <si>
    <t>Longi Mono 440 - LR4-72HPH</t>
  </si>
  <si>
    <t>Huawei SUN2000-8K-LCO</t>
  </si>
  <si>
    <t>Imp na MPPT 5</t>
  </si>
  <si>
    <t>Osda 555 - ODA555-36V-MH</t>
  </si>
  <si>
    <r>
      <rPr>
        <sz val="11"/>
        <color theme="1"/>
        <rFont val="Calibri"/>
      </rPr>
      <t xml:space="preserve">Huawei SUN2000-8K-LCO </t>
    </r>
    <r>
      <rPr>
        <b/>
        <sz val="11"/>
        <color theme="1"/>
        <rFont val="Calibri"/>
      </rPr>
      <t>50%</t>
    </r>
  </si>
  <si>
    <t>Imp na MPPT 6</t>
  </si>
  <si>
    <t>Osda 610 - ODA610-33VR-MH</t>
  </si>
  <si>
    <t>Hyxipower HYX-S3.6K-S</t>
  </si>
  <si>
    <t>Imp na MPPT 7</t>
  </si>
  <si>
    <t>Osda 610W - ODA610-36VR-MHD (N-Type) Bifacial</t>
  </si>
  <si>
    <t>Hyxipower HYX-S5K-S</t>
  </si>
  <si>
    <t>Imp na MPPT 8</t>
  </si>
  <si>
    <t>Osda ODA460-30V-MH</t>
  </si>
  <si>
    <t>Hyxipower HYX-S6K-S</t>
  </si>
  <si>
    <t>Imp na MPPT 9</t>
  </si>
  <si>
    <t>RENEPV 605W - ZYG12RNHB-132/F</t>
  </si>
  <si>
    <t>Hyxipower HYX-S7.3K-S</t>
  </si>
  <si>
    <t>Imp na MPPT 10</t>
  </si>
  <si>
    <t>Renepv 700 Mono - ZY-G12HN-66</t>
  </si>
  <si>
    <t>Leapton S1X-5K1P-Y</t>
  </si>
  <si>
    <t>Imp na MPPT 11</t>
  </si>
  <si>
    <t>Renesola 560W - RS560-560M-E3</t>
  </si>
  <si>
    <t>Leapton S1X-7.5K1P-Y</t>
  </si>
  <si>
    <t>Imp na MPPT 12</t>
  </si>
  <si>
    <t>Resun Mono 545 RS8I-M</t>
  </si>
  <si>
    <t>Livoltek GT1 2K2S1</t>
  </si>
  <si>
    <t>Imp na MPPT 13</t>
  </si>
  <si>
    <t>Risen 700 Bifacial -  RSM132-8-700-715BHDG</t>
  </si>
  <si>
    <t>Livoltek GT1-10K-D</t>
  </si>
  <si>
    <t>Imp na MPPT 14</t>
  </si>
  <si>
    <t>Ronma - 570 - RM-600W-182M.144TB (N-Type Bifacial)</t>
  </si>
  <si>
    <t>Livoltek GT1-10KT2</t>
  </si>
  <si>
    <t>Imp na MPPT 15</t>
  </si>
  <si>
    <t>Livoltek GT1-3K3S1</t>
  </si>
  <si>
    <t>Ronma - 585 - RM-585W-182M.144TB (N-Type Bifacial)</t>
  </si>
  <si>
    <t>Livoltek GT1-3K-S*</t>
  </si>
  <si>
    <t>Ronma 700W - RM‑700W‑210M/132HB (N-Type Bifacial)</t>
  </si>
  <si>
    <t>Livoltek GT1-3K-SS</t>
  </si>
  <si>
    <t>Runergy 550W - HY-DH144P8-550W (Bifacial)</t>
  </si>
  <si>
    <t>Livoltek GT1-5K-D*</t>
  </si>
  <si>
    <t>Runergy 550W - HY-WH144P8-550W (Monofacial)</t>
  </si>
  <si>
    <t>Livoltek GT1-5KD2</t>
  </si>
  <si>
    <t>Icc por St na MPPT 1</t>
  </si>
  <si>
    <t>Solargiga 560 Mono - JMPV-X1 72</t>
  </si>
  <si>
    <t>Livoltek GT1-5K-DS</t>
  </si>
  <si>
    <t>Icc por St na MPPT 2</t>
  </si>
  <si>
    <t>Sunova Mono 505 - SS-505-66MTF</t>
  </si>
  <si>
    <t>Livoltek GT1-6K-D*</t>
  </si>
  <si>
    <t>Icc por St na MPPT 3</t>
  </si>
  <si>
    <t>Ulica 450 Mono - UL-450M-144</t>
  </si>
  <si>
    <t>Livoltek GT1-6KD1</t>
  </si>
  <si>
    <t>Icc por St na MPPT 4</t>
  </si>
  <si>
    <t>Ulica 550 Mono - UL-550M-144HV</t>
  </si>
  <si>
    <t>Livoltek GT1-6KD2</t>
  </si>
  <si>
    <t>Icc por St na MPPT 5</t>
  </si>
  <si>
    <t>Ulica Mono 440 - UL-440M-144HV</t>
  </si>
  <si>
    <t>Livoltek GT1-6K-DS</t>
  </si>
  <si>
    <t>Icc por St na MPPT 6</t>
  </si>
  <si>
    <t>Ulica Mono 505 - UL-505M-132HV</t>
  </si>
  <si>
    <t>Livoltek GT1-7K5T2</t>
  </si>
  <si>
    <t>Icc por St na MPPT 7</t>
  </si>
  <si>
    <t>Vsun 545 Mono - 144MH</t>
  </si>
  <si>
    <t>Livoltek GT1-8K-D</t>
  </si>
  <si>
    <t>Icc por St na MPPT 8</t>
  </si>
  <si>
    <t xml:space="preserve"> TCL 640W - HSM-ND78-GF</t>
  </si>
  <si>
    <t>Livoltek GT1-8KT1</t>
  </si>
  <si>
    <t>Icc por St na MPPT 9</t>
  </si>
  <si>
    <t>Gokin 620W - GK-4-66HTBD-620M-F</t>
  </si>
  <si>
    <t>Livoltek GT1-8KT2</t>
  </si>
  <si>
    <t>Icc por St na MPPT 10</t>
  </si>
  <si>
    <t>Livoltek GT3-25-D*</t>
  </si>
  <si>
    <t>Icc por St na MPPT 11</t>
  </si>
  <si>
    <t>Livoltek GT3-30-D*</t>
  </si>
  <si>
    <t>Icc por St na MPPT 12</t>
  </si>
  <si>
    <t>Livoltek Off Grid GF1-3k48L1</t>
  </si>
  <si>
    <t>Icc por St na MPPT 13</t>
  </si>
  <si>
    <t>Livoltek Off Grid GF1-5K48S1</t>
  </si>
  <si>
    <t>Icc por St na MPPT 14</t>
  </si>
  <si>
    <t>Nansen ASN-30TL-LV-G2</t>
  </si>
  <si>
    <t>Icc por St na MPPT 15</t>
  </si>
  <si>
    <t>Nansen ASN-30TL-LV-G2 50%</t>
  </si>
  <si>
    <t>Nansen ASN-50TL-G2</t>
  </si>
  <si>
    <t>Nansen ASN-6SL-PLUS</t>
  </si>
  <si>
    <t>Nansen-15TL-LV</t>
  </si>
  <si>
    <t>Imp por St na MPPT 1</t>
  </si>
  <si>
    <t>Nansen-20TL</t>
  </si>
  <si>
    <t>Imp por St na MPPT 2</t>
  </si>
  <si>
    <t>Nansen-20TL-LV</t>
  </si>
  <si>
    <t>Imp por St na MPPT 3</t>
  </si>
  <si>
    <t>Nansen-25TL</t>
  </si>
  <si>
    <t>Imp por St na MPPT 4</t>
  </si>
  <si>
    <t>Nansen-25TL-LV</t>
  </si>
  <si>
    <t>Imp por St na MPPT 5</t>
  </si>
  <si>
    <t>Nansen-30TL</t>
  </si>
  <si>
    <t>Imp por St na MPPT 6</t>
  </si>
  <si>
    <t>Nansen-75TL-LV-PLUS</t>
  </si>
  <si>
    <t>Imp por St na MPPT 7</t>
  </si>
  <si>
    <t>R5-17K-T2</t>
  </si>
  <si>
    <t>Imp por St na MPPT 8</t>
  </si>
  <si>
    <t>SMA STP 25000</t>
  </si>
  <si>
    <t>Imp por St na MPPT 9</t>
  </si>
  <si>
    <t>SMA STP 50-40</t>
  </si>
  <si>
    <t>Imp por St na MPPT 10</t>
  </si>
  <si>
    <t>SMA STP110-60</t>
  </si>
  <si>
    <t>Imp por St na MPPT 11</t>
  </si>
  <si>
    <t>SMA Sunny Tripower X 25</t>
  </si>
  <si>
    <t>Imp por St na MPPT 12</t>
  </si>
  <si>
    <t>Solax - All in one 15K X3-IES-15K</t>
  </si>
  <si>
    <t>Imp por St na MPPT 13</t>
  </si>
  <si>
    <t>SolaX - Híbrido 15K X3-Hybrid-15.0-D</t>
  </si>
  <si>
    <t>Imp por St na MPPT 14</t>
  </si>
  <si>
    <t>SolaX - Híbrido 5K X1-HYB-5.0-LV</t>
  </si>
  <si>
    <t>Imp por St na MPPT 15</t>
  </si>
  <si>
    <t>SolaX - Híbrido 7,5K X1-Hybrid-7.5-D</t>
  </si>
  <si>
    <t>SolaX - X3-AELIO-60K</t>
  </si>
  <si>
    <t>SOLAX 10KW M220 HIBRIDO (X1-LITE-10K-LV)</t>
  </si>
  <si>
    <t>SOLAX 12KW T220 HIBRIDO (X3-NEO-12K-LV)</t>
  </si>
  <si>
    <t>SOLAX 15KW T220 HIBRIDO (X3-NEO-15K-LV)</t>
  </si>
  <si>
    <t>SOLAX 20KW T220 HIBRIDO (X3-NEO-20K-LV)</t>
  </si>
  <si>
    <t>SOLAX 6KW M220 HIBRIDO (X1-HYB-6.0-LV)</t>
  </si>
  <si>
    <t>Solis 110K 5G</t>
  </si>
  <si>
    <t>Solis 110K 5G-PRO</t>
  </si>
  <si>
    <t>Solis 125K-EHV-5G</t>
  </si>
  <si>
    <t>Solis 15K-4G</t>
  </si>
  <si>
    <t>Solis 1P7.7K-5G</t>
  </si>
  <si>
    <t>Solis 1P7K-5G</t>
  </si>
  <si>
    <t>Solis 25K 5G</t>
  </si>
  <si>
    <t>Solis 30K 5G</t>
  </si>
  <si>
    <t>Solis 50K</t>
  </si>
  <si>
    <t>Solis 60K-4G</t>
  </si>
  <si>
    <t>Solis 75K 5G</t>
  </si>
  <si>
    <t>Solis 75K 5G-PRO</t>
  </si>
  <si>
    <r>
      <rPr>
        <sz val="11"/>
        <color theme="1"/>
        <rFont val="Calibri"/>
      </rPr>
      <t xml:space="preserve">Solis 75K 5G-PRO </t>
    </r>
    <r>
      <rPr>
        <b/>
        <sz val="11"/>
        <color theme="1"/>
        <rFont val="Calibri"/>
      </rPr>
      <t>com 50%</t>
    </r>
  </si>
  <si>
    <t>Solis 8K 4G</t>
  </si>
  <si>
    <t>Solis S5-GC 37,5K</t>
  </si>
  <si>
    <r>
      <rPr>
        <sz val="11"/>
        <color theme="1"/>
        <rFont val="Calibri"/>
      </rPr>
      <t xml:space="preserve">Solis S5-GC 37,5K </t>
    </r>
    <r>
      <rPr>
        <b/>
        <sz val="11"/>
        <color theme="1"/>
        <rFont val="Calibri"/>
      </rPr>
      <t>com 50%</t>
    </r>
  </si>
  <si>
    <t>Solis S5-GC 60K</t>
  </si>
  <si>
    <r>
      <rPr>
        <sz val="11"/>
        <color theme="1"/>
        <rFont val="Calibri"/>
      </rPr>
      <t xml:space="preserve">Solis S5-GC 60K </t>
    </r>
    <r>
      <rPr>
        <b/>
        <sz val="11"/>
        <color theme="1"/>
        <rFont val="Calibri"/>
      </rPr>
      <t>com 50%</t>
    </r>
  </si>
  <si>
    <t>Solis S5-GC25K</t>
  </si>
  <si>
    <t>Solis S5-GC30K-LV</t>
  </si>
  <si>
    <t>Solis S5-GC50K</t>
  </si>
  <si>
    <t>Solis S5-GR3P-20K</t>
  </si>
  <si>
    <t>Solis S6-GC100K</t>
  </si>
  <si>
    <t>Solis S6-GC75K-LV</t>
  </si>
  <si>
    <t>Solis S6-GR1P5K</t>
  </si>
  <si>
    <t>Solis S6-GR1P5K-S</t>
  </si>
  <si>
    <t>Solis-1P5K-4G</t>
  </si>
  <si>
    <t>Solis-60K-LV-5G-PRO</t>
  </si>
  <si>
    <t>Solis-60K-LV-5G-PRO (C/ CONECTOR "Y")</t>
  </si>
  <si>
    <t>Solis-75K-LV-5G-PRO</t>
  </si>
  <si>
    <r>
      <rPr>
        <sz val="11"/>
        <color theme="1"/>
        <rFont val="Calibri"/>
      </rPr>
      <t xml:space="preserve">Solis-75K-LV-5G-PRO </t>
    </r>
    <r>
      <rPr>
        <b/>
        <sz val="11"/>
        <color theme="1"/>
        <rFont val="Calibri"/>
      </rPr>
      <t>(C/ CONECTOR "Y")</t>
    </r>
  </si>
  <si>
    <t>Solplanet  ASW 50K-UT-G3</t>
  </si>
  <si>
    <t>Solplanet ASW 10000-S</t>
  </si>
  <si>
    <t>Solplanet ASW 12K-LT-G2-Pro</t>
  </si>
  <si>
    <t>Solplanet ASW 15K-LT-G2 (PRO)</t>
  </si>
  <si>
    <t>Solplanet ASW 15K-UT-G3 (220)</t>
  </si>
  <si>
    <t>Solplanet ASW 17K-LT-G2 Pro</t>
  </si>
  <si>
    <t>Solplanet ASW 17K-LT-G2.5</t>
  </si>
  <si>
    <t>Solplanet ASW 20K-LT-G2 (PRO)</t>
  </si>
  <si>
    <t>Solplanet ASW 20K-UT-G3 (220)</t>
  </si>
  <si>
    <t>Solplanet ASW 250K-HT</t>
  </si>
  <si>
    <t>Solplanet ASW 25K-LT-G2 Pro</t>
  </si>
  <si>
    <t>Solplanet ASW 25K-UT-G3 (220)</t>
  </si>
  <si>
    <t>Solplanet ASW 30K LT-G3</t>
  </si>
  <si>
    <t>Solplanet ASW 30K-UT-G3 (220)</t>
  </si>
  <si>
    <t>Solplanet ASW 33K-LT-G3</t>
  </si>
  <si>
    <t>Solplanet ASW 36K-LT-G3</t>
  </si>
  <si>
    <t>Solplanet ASW 36K-UT-G3 (220)</t>
  </si>
  <si>
    <t>Solplanet ASW 37,5K-UT-G3 (220)</t>
  </si>
  <si>
    <t>Solplanet ASW 4000-S</t>
  </si>
  <si>
    <t>Solplanet ASW 40K LT-G3</t>
  </si>
  <si>
    <t>SolPlanet ASW 5000-S</t>
  </si>
  <si>
    <t>Solplanet ASW 50K LT-G2</t>
  </si>
  <si>
    <t>SolPlanet ASW 7300-S</t>
  </si>
  <si>
    <t>SolPlanet ASW 7500-S</t>
  </si>
  <si>
    <t>Solplanet ASW 8000-S</t>
  </si>
  <si>
    <t>SolPlanet ASW 9100-S</t>
  </si>
  <si>
    <t>Solplanet ASW110K-LT</t>
  </si>
  <si>
    <t>Solplanet ASW12KH-T2 (Híbrido)</t>
  </si>
  <si>
    <t>Solplanet ASW3000-S-G2</t>
  </si>
  <si>
    <t xml:space="preserve">Solplanet ASW37.5K-UT-G3 </t>
  </si>
  <si>
    <t>SolPlanet ASW4000-S-G2</t>
  </si>
  <si>
    <t>Solplanet ASW5000H-S2 (Híbrido)</t>
  </si>
  <si>
    <t>SolPlanet ASW5000-S-G2</t>
  </si>
  <si>
    <t>Solplanet ASW6000H-S2 (Híbrido)</t>
  </si>
  <si>
    <t>Solplanet ASW6000-S-G2</t>
  </si>
  <si>
    <t>Solplanet ASW60K-LT-G3</t>
  </si>
  <si>
    <t>Solplanet ASW75K-LT</t>
  </si>
  <si>
    <t>Solplanet ASW75K-UT-G3</t>
  </si>
  <si>
    <t>SRNE ASF4880U180-H</t>
  </si>
  <si>
    <t>Sungrow SG10RS-L2</t>
  </si>
  <si>
    <t>Sungrow SG110CX 100%</t>
  </si>
  <si>
    <t>Sungrow SG110CX-P2</t>
  </si>
  <si>
    <t>Sungrow SG12RT-P2</t>
  </si>
  <si>
    <t>Sungrow SG15RT-P2</t>
  </si>
  <si>
    <t>Sungrow SG20RT-P2</t>
  </si>
  <si>
    <t>Sungrow SG250HX 100%</t>
  </si>
  <si>
    <t>Sungrow SG25CX-AS</t>
  </si>
  <si>
    <t>Sungrow SG25CX-P2</t>
  </si>
  <si>
    <t>Sungrow SG30CX-P2</t>
  </si>
  <si>
    <t>Sungrow SG333HX 100%</t>
  </si>
  <si>
    <t>Sungrow SG350HX 100%</t>
  </si>
  <si>
    <t>Sungrow SG36CX-P2</t>
  </si>
  <si>
    <t>Sungrow SG40CX-P2</t>
  </si>
  <si>
    <t>Sungrow SG5.0RS-L2</t>
  </si>
  <si>
    <t>Sungrow SG50CX-P2-LV</t>
  </si>
  <si>
    <t>Sungrow SG6.0RS-L2</t>
  </si>
  <si>
    <t>Sungrow SG7.5RS-L2</t>
  </si>
  <si>
    <t>Sungrow SG75CX 100%</t>
  </si>
  <si>
    <t>Sungrow SG75CX-P2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</si>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</sst>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\ &quot;St&quot;"/>
    <numFmt numFmtId="165" formatCode="0.000"/>
  </numFmts>
  <fonts count="9">
    <font>
      <sz val="11"/>
      <color theme="1"/>
      <name val="Calibri"/>
      <scheme val="minor"/>
    </font>
    <font>
      <sz val="11"/>
      <color rgb="FF757070"/>
      <name val="Calibri"/>
    </font>
    <font>
      <sz val="11"/>
      <color theme="1"/>
      <name val="Calibri"/>
    </font>
    <font>
      <sz val="11"/>
      <name val="Calibri"/>
    </font>
    <font>
      <sz val="11"/>
      <color indexed="65"/>
      <name val="Calibri"/>
    </font>
    <font>
      <b/>
      <sz val="11"/>
      <color theme="1"/>
      <name val="Calibri"/>
    </font>
    <font>
      <sz val="10"/>
      <color theme="1"/>
      <name val="Calibri"/>
    </font>
    <font>
      <sz val="11"/>
      <color rgb="FF7F7F7F"/>
      <name val="Calibri"/>
    </font>
    <font>
      <sz val="11"/>
      <color indexed="2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rgb="FFFEF2CB"/>
        <bgColor rgb="FFFEF2CB"/>
      </patternFill>
    </fill>
    <fill>
      <patternFill patternType="solid">
        <fgColor rgb="FFFFD965"/>
        <bgColor rgb="FFFFD965"/>
      </patternFill>
    </fill>
    <fill>
      <patternFill patternType="solid">
        <fgColor rgb="FFDEEAF6"/>
        <bgColor rgb="FFDEEAF6"/>
      </patternFill>
    </fill>
    <fill>
      <patternFill patternType="solid">
        <fgColor rgb="FFD9E2F3"/>
        <bgColor rgb="FFD9E2F3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theme="0"/>
      </patternFill>
    </fill>
    <fill>
      <patternFill patternType="solid">
        <fgColor indexed="5"/>
        <bgColor indexed="5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92D050"/>
        <bgColor rgb="FF92D050"/>
      </patternFill>
    </fill>
    <fill>
      <patternFill patternType="solid">
        <fgColor theme="7"/>
        <bgColor theme="7"/>
      </patternFill>
    </fill>
    <fill>
      <patternFill patternType="solid">
        <fgColor rgb="FF7030A0"/>
      </patternFill>
    </fill>
  </fills>
  <borders count="2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8EAADB"/>
      </top>
      <bottom style="thin">
        <color rgb="FF8EAAD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 applyAlignment="1">
      <alignment horizontal="center"/>
    </xf>
    <xf numFmtId="0" fontId="2" fillId="0" borderId="3" xfId="0" applyFont="1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4" fillId="2" borderId="0" xfId="0" applyFont="1" applyFill="1"/>
    <xf numFmtId="0" fontId="4" fillId="4" borderId="0" xfId="0" applyFont="1" applyFill="1"/>
    <xf numFmtId="0" fontId="2" fillId="5" borderId="0" xfId="0" applyFont="1" applyFill="1"/>
    <xf numFmtId="0" fontId="2" fillId="0" borderId="0" xfId="0" applyFont="1" applyAlignment="1">
      <alignment horizontal="left"/>
    </xf>
    <xf numFmtId="0" fontId="2" fillId="0" borderId="8" xfId="0" applyFont="1" applyBorder="1"/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0" xfId="0" applyFont="1"/>
    <xf numFmtId="0" fontId="0" fillId="0" borderId="11" xfId="0" applyBorder="1"/>
    <xf numFmtId="0" fontId="0" fillId="0" borderId="12" xfId="0" applyBorder="1"/>
    <xf numFmtId="0" fontId="2" fillId="6" borderId="0" xfId="0" applyFont="1" applyFill="1"/>
    <xf numFmtId="164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1" xfId="0" applyFont="1" applyBorder="1"/>
    <xf numFmtId="0" fontId="2" fillId="0" borderId="12" xfId="0" applyFont="1" applyBorder="1"/>
    <xf numFmtId="0" fontId="2" fillId="8" borderId="0" xfId="0" applyFont="1" applyFill="1"/>
    <xf numFmtId="164" fontId="2" fillId="0" borderId="13" xfId="0" applyNumberFormat="1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165" fontId="2" fillId="5" borderId="0" xfId="0" applyNumberFormat="1" applyFont="1" applyFill="1"/>
    <xf numFmtId="2" fontId="2" fillId="5" borderId="0" xfId="0" applyNumberFormat="1" applyFont="1" applyFill="1"/>
    <xf numFmtId="0" fontId="2" fillId="9" borderId="0" xfId="0" applyFont="1" applyFill="1"/>
    <xf numFmtId="0" fontId="0" fillId="6" borderId="0" xfId="0" applyFill="1"/>
    <xf numFmtId="0" fontId="2" fillId="3" borderId="0" xfId="0" applyFont="1" applyFill="1"/>
    <xf numFmtId="0" fontId="2" fillId="0" borderId="0" xfId="0" applyFont="1" applyAlignment="1">
      <alignment horizontal="right" vertical="center"/>
    </xf>
    <xf numFmtId="0" fontId="2" fillId="0" borderId="12" xfId="0" applyFont="1" applyBorder="1" applyAlignment="1">
      <alignment horizontal="right" vertical="center"/>
    </xf>
    <xf numFmtId="0" fontId="5" fillId="0" borderId="4" xfId="0" applyFont="1" applyBorder="1"/>
    <xf numFmtId="0" fontId="5" fillId="11" borderId="16" xfId="0" applyFont="1" applyFill="1" applyBorder="1" applyAlignment="1">
      <alignment horizontal="center"/>
    </xf>
    <xf numFmtId="0" fontId="2" fillId="0" borderId="9" xfId="0" applyFont="1" applyBorder="1"/>
    <xf numFmtId="0" fontId="2" fillId="0" borderId="17" xfId="0" applyFont="1" applyBorder="1" applyAlignment="1">
      <alignment horizontal="center"/>
    </xf>
    <xf numFmtId="0" fontId="2" fillId="0" borderId="11" xfId="0" applyFont="1" applyBorder="1" applyAlignment="1">
      <alignment horizontal="right" vertical="center"/>
    </xf>
    <xf numFmtId="0" fontId="2" fillId="0" borderId="0" xfId="0" quotePrefix="1" applyFont="1"/>
    <xf numFmtId="0" fontId="0" fillId="8" borderId="0" xfId="0" applyFill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164" fontId="2" fillId="0" borderId="6" xfId="0" applyNumberFormat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7" borderId="8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1" fillId="0" borderId="0" xfId="0" applyFont="1"/>
    <xf numFmtId="0" fontId="2" fillId="11" borderId="18" xfId="0" applyFont="1" applyFill="1" applyBorder="1" applyAlignment="1">
      <alignment horizontal="center"/>
    </xf>
    <xf numFmtId="0" fontId="7" fillId="0" borderId="0" xfId="0" applyFont="1"/>
    <xf numFmtId="0" fontId="2" fillId="9" borderId="0" xfId="0" applyFont="1" applyFill="1" applyAlignment="1">
      <alignment horizontal="right" vertical="center"/>
    </xf>
    <xf numFmtId="0" fontId="2" fillId="9" borderId="12" xfId="0" applyFont="1" applyFill="1" applyBorder="1" applyAlignment="1">
      <alignment horizontal="right" vertical="center"/>
    </xf>
    <xf numFmtId="0" fontId="2" fillId="0" borderId="0" xfId="0" applyFont="1" applyAlignment="1">
      <alignment horizontal="right"/>
    </xf>
    <xf numFmtId="0" fontId="2" fillId="12" borderId="0" xfId="0" applyFont="1" applyFill="1" applyAlignment="1">
      <alignment horizontal="right" vertical="center"/>
    </xf>
    <xf numFmtId="0" fontId="2" fillId="12" borderId="12" xfId="0" applyFont="1" applyFill="1" applyBorder="1" applyAlignment="1">
      <alignment horizontal="right" vertical="center"/>
    </xf>
    <xf numFmtId="0" fontId="8" fillId="0" borderId="0" xfId="0" applyFont="1"/>
    <xf numFmtId="2" fontId="2" fillId="0" borderId="0" xfId="0" applyNumberFormat="1" applyFont="1"/>
    <xf numFmtId="2" fontId="2" fillId="8" borderId="0" xfId="0" applyNumberFormat="1" applyFont="1" applyFill="1"/>
    <xf numFmtId="2" fontId="2" fillId="6" borderId="0" xfId="0" applyNumberFormat="1" applyFont="1" applyFill="1"/>
    <xf numFmtId="0" fontId="0" fillId="0" borderId="19" xfId="0" applyBorder="1"/>
    <xf numFmtId="0" fontId="0" fillId="13" borderId="0" xfId="0" applyFill="1"/>
    <xf numFmtId="3" fontId="2" fillId="0" borderId="0" xfId="0" applyNumberFormat="1" applyFont="1"/>
    <xf numFmtId="0" fontId="2" fillId="2" borderId="0" xfId="0" applyFont="1" applyFill="1" applyAlignment="1">
      <alignment horizontal="left"/>
    </xf>
    <xf numFmtId="0" fontId="3" fillId="0" borderId="0" xfId="0" applyFont="1"/>
    <xf numFmtId="0" fontId="2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6" xfId="0" applyFont="1" applyBorder="1"/>
    <xf numFmtId="0" fontId="3" fillId="0" borderId="7" xfId="0" applyFont="1" applyBorder="1"/>
    <xf numFmtId="0" fontId="2" fillId="0" borderId="2" xfId="0" applyFont="1" applyBorder="1" applyAlignment="1">
      <alignment horizontal="center" vertical="center" wrapText="1"/>
    </xf>
    <xf numFmtId="0" fontId="0" fillId="10" borderId="0" xfId="0" applyFill="1" applyAlignment="1">
      <alignment horizontal="center"/>
    </xf>
    <xf numFmtId="0" fontId="0" fillId="10" borderId="0" xfId="0" applyFill="1"/>
  </cellXfs>
  <cellStyles count="1">
    <cellStyle name="Normal" xfId="0" builtinId="0"/>
  </cellStyles>
  <dxfs count="35">
    <dxf>
      <fill>
        <patternFill patternType="solid">
          <fgColor rgb="FFA8D08D"/>
          <bgColor rgb="FFA8D08D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ill>
        <patternFill patternType="solid">
          <fgColor rgb="FFFF5050"/>
          <bgColor rgb="FFFF5050"/>
        </patternFill>
      </fill>
    </dxf>
    <dxf>
      <fill>
        <patternFill patternType="solid">
          <fgColor rgb="FFFF5050"/>
          <bgColor rgb="FFFF5050"/>
        </patternFill>
      </fill>
    </dxf>
    <dxf>
      <font>
        <b/>
        <color theme="0"/>
      </font>
      <fill>
        <patternFill patternType="solid">
          <fgColor indexed="2"/>
          <bgColor indexed="2"/>
        </patternFill>
      </fill>
    </dxf>
    <dxf>
      <font>
        <b/>
        <color theme="0"/>
      </font>
      <fill>
        <patternFill patternType="solid">
          <fgColor indexed="2"/>
          <bgColor indexed="2"/>
        </patternFill>
      </fill>
    </dxf>
    <dxf>
      <fill>
        <patternFill patternType="solid">
          <fgColor rgb="FFFF5050"/>
          <bgColor rgb="FFFF505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FF5050"/>
          <bgColor rgb="FFFF505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2" defaultPivotStyle="PivotStyleLight16">
    <tableStyle name="MPPT-style" pivot="0" count="3" xr9:uid="{00000000-0011-0000-FFFF-FFFF00000000}">
      <tableStyleElement type="headerRow" dxfId="34"/>
      <tableStyleElement type="firstRowStripe" dxfId="33"/>
      <tableStyleElement type="secondRowStripe" dxfId="32"/>
    </tableStyle>
    <tableStyle name="MPPT-style 2" pivot="0" count="3" xr9:uid="{00000000-0011-0000-FFFF-FFFF01000000}">
      <tableStyleElement type="headerRow" dxfId="31"/>
      <tableStyleElement type="firstRowStripe" dxfId="30"/>
      <tableStyleElement type="secondRowStripe" dxfId="2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76200</xdr:rowOff>
    </xdr:from>
    <xdr:ext cx="1724025" cy="276224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0</xdr:row>
      <xdr:rowOff>0</xdr:rowOff>
    </xdr:from>
    <xdr:ext cx="1838324" cy="342900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 rotWithShape="1">
        <a:blip xmlns:r="http://schemas.openxmlformats.org/officeDocument/2006/relationships" r:embed="rId2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C2:BK208">
  <autoFilter ref="BC2:BK208" xr:uid="{00000000-0009-0000-0100-000001000000}"/>
  <sortState xmlns:xlrd2="http://schemas.microsoft.com/office/spreadsheetml/2017/richdata2" ref="BC3:BI115">
    <sortCondition ref="BC2:BC115"/>
  </sortState>
  <tableColumns count="9">
    <tableColumn id="1" xr3:uid="{00000000-0010-0000-0000-000001000000}" name="Módulo"/>
    <tableColumn id="2" xr3:uid="{00000000-0010-0000-0000-000002000000}" name="Pot"/>
    <tableColumn id="3" xr3:uid="{00000000-0010-0000-0000-000003000000}" name="Voc"/>
    <tableColumn id="4" xr3:uid="{00000000-0010-0000-0000-000004000000}" name="Vmp"/>
    <tableColumn id="5" xr3:uid="{00000000-0010-0000-0000-000005000000}" name="%"/>
    <tableColumn id="6" xr3:uid="{00000000-0010-0000-0000-000006000000}" name="Imp"/>
    <tableColumn id="7" xr3:uid="{00000000-0010-0000-0000-000007000000}" name="Icc"/>
    <tableColumn id="8" xr3:uid="{00000000-0010-0000-0000-000008000000}" name="sku_p"/>
    <tableColumn id="9" xr3:uid="{00000000-0010-0000-0000-000009000000}" name="disponivel_p"/>
  </tableColumns>
  <tableStyleInfo name="MPP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M2:DJ296">
  <autoFilter ref="BM2:DJ296" xr:uid="{00000000-0009-0000-0100-000002000000}"/>
  <sortState xmlns:xlrd2="http://schemas.microsoft.com/office/spreadsheetml/2017/richdata2" ref="BM3:DJ239">
    <sortCondition ref="BM2:BM239"/>
  </sortState>
  <tableColumns count="50">
    <tableColumn id="1" xr3:uid="{00000000-0010-0000-0100-000001000000}" name="Inversor"/>
    <tableColumn id="2" xr3:uid="{00000000-0010-0000-0100-000002000000}" name="Pnom"/>
    <tableColumn id="3" xr3:uid="{00000000-0010-0000-0100-000003000000}" name="Pmax"/>
    <tableColumn id="4" xr3:uid="{00000000-0010-0000-0100-000004000000}" name="Vmax"/>
    <tableColumn id="5" xr3:uid="{00000000-0010-0000-0100-000005000000}" name="Vmin"/>
    <tableColumn id="6" xr3:uid="{00000000-0010-0000-0100-000006000000}" name="Icc 1"/>
    <tableColumn id="7" xr3:uid="{00000000-0010-0000-0100-000007000000}" name="Icc 2"/>
    <tableColumn id="8" xr3:uid="{00000000-0010-0000-0100-000008000000}" name="Icc 3"/>
    <tableColumn id="9" xr3:uid="{00000000-0010-0000-0100-000009000000}" name="Icc 4"/>
    <tableColumn id="10" xr3:uid="{00000000-0010-0000-0100-00000A000000}" name="Icc 5"/>
    <tableColumn id="11" xr3:uid="{00000000-0010-0000-0100-00000B000000}" name="Icc 6"/>
    <tableColumn id="12" xr3:uid="{00000000-0010-0000-0100-00000C000000}" name="Icc 7"/>
    <tableColumn id="13" xr3:uid="{00000000-0010-0000-0100-00000D000000}" name="Icc 8"/>
    <tableColumn id="14" xr3:uid="{00000000-0010-0000-0100-00000E000000}" name="Icc 9"/>
    <tableColumn id="15" xr3:uid="{00000000-0010-0000-0100-00000F000000}" name="Icc 10"/>
    <tableColumn id="16" xr3:uid="{00000000-0010-0000-0100-000010000000}" name="Icc 11"/>
    <tableColumn id="17" xr3:uid="{00000000-0010-0000-0100-000011000000}" name="Icc 12"/>
    <tableColumn id="18" xr3:uid="{00000000-0010-0000-0100-000012000000}" name="Icc 13"/>
    <tableColumn id="19" xr3:uid="{00000000-0010-0000-0100-000013000000}" name="Icc 14"/>
    <tableColumn id="20" xr3:uid="{00000000-0010-0000-0100-000014000000}" name="Icc 15"/>
    <tableColumn id="21" xr3:uid="{00000000-0010-0000-0100-000015000000}" name="Imp 1"/>
    <tableColumn id="22" xr3:uid="{00000000-0010-0000-0100-000016000000}" name="Imp 2"/>
    <tableColumn id="23" xr3:uid="{00000000-0010-0000-0100-000017000000}" name="Imp 3"/>
    <tableColumn id="24" xr3:uid="{00000000-0010-0000-0100-000018000000}" name="Imp 4"/>
    <tableColumn id="25" xr3:uid="{00000000-0010-0000-0100-000019000000}" name="Imp 5"/>
    <tableColumn id="26" xr3:uid="{00000000-0010-0000-0100-00001A000000}" name="Imp 6"/>
    <tableColumn id="27" xr3:uid="{00000000-0010-0000-0100-00001B000000}" name="Imp 7"/>
    <tableColumn id="28" xr3:uid="{00000000-0010-0000-0100-00001C000000}" name="Imp 8"/>
    <tableColumn id="29" xr3:uid="{00000000-0010-0000-0100-00001D000000}" name="Imp 9"/>
    <tableColumn id="30" xr3:uid="{00000000-0010-0000-0100-00001E000000}" name="Imp 10"/>
    <tableColumn id="31" xr3:uid="{00000000-0010-0000-0100-00001F000000}" name="Imp 11"/>
    <tableColumn id="32" xr3:uid="{00000000-0010-0000-0100-000020000000}" name="Imp 12"/>
    <tableColumn id="33" xr3:uid="{00000000-0010-0000-0100-000021000000}" name="Imp 13"/>
    <tableColumn id="34" xr3:uid="{00000000-0010-0000-0100-000022000000}" name="Imp 14"/>
    <tableColumn id="35" xr3:uid="{00000000-0010-0000-0100-000023000000}" name="Imp 15"/>
    <tableColumn id="36" xr3:uid="{00000000-0010-0000-0100-000024000000}" name="1"/>
    <tableColumn id="37" xr3:uid="{00000000-0010-0000-0100-000025000000}" name="2"/>
    <tableColumn id="38" xr3:uid="{00000000-0010-0000-0100-000026000000}" name="3"/>
    <tableColumn id="39" xr3:uid="{00000000-0010-0000-0100-000027000000}" name="4"/>
    <tableColumn id="40" xr3:uid="{00000000-0010-0000-0100-000028000000}" name="5"/>
    <tableColumn id="41" xr3:uid="{00000000-0010-0000-0100-000029000000}" name="6"/>
    <tableColumn id="42" xr3:uid="{00000000-0010-0000-0100-00002A000000}" name="7"/>
    <tableColumn id="43" xr3:uid="{00000000-0010-0000-0100-00002B000000}" name="8"/>
    <tableColumn id="44" xr3:uid="{00000000-0010-0000-0100-00002C000000}" name="9"/>
    <tableColumn id="45" xr3:uid="{00000000-0010-0000-0100-00002D000000}" name="10"/>
    <tableColumn id="46" xr3:uid="{00000000-0010-0000-0100-00002E000000}" name="11"/>
    <tableColumn id="47" xr3:uid="{00000000-0010-0000-0100-00002F000000}" name="12"/>
    <tableColumn id="48" xr3:uid="{00000000-0010-0000-0100-000030000000}" name="13"/>
    <tableColumn id="49" xr3:uid="{00000000-0010-0000-0100-000031000000}" name="14"/>
    <tableColumn id="50" xr3:uid="{00000000-0010-0000-0100-000032000000}" name="15"/>
  </tableColumns>
  <tableStyleInfo name="MPPT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L1000"/>
  <sheetViews>
    <sheetView showGridLines="0" tabSelected="1" topLeftCell="AZ109" zoomScale="85" workbookViewId="0">
      <selection activeCell="DL206" sqref="DL206"/>
    </sheetView>
  </sheetViews>
  <sheetFormatPr defaultColWidth="14.42578125" defaultRowHeight="15" customHeight="1"/>
  <cols>
    <col min="1" max="1" width="1.7109375" customWidth="1"/>
    <col min="2" max="2" width="27.5703125" customWidth="1"/>
    <col min="3" max="3" width="9.28515625" customWidth="1"/>
    <col min="4" max="4" width="12.5703125" customWidth="1"/>
    <col min="5" max="5" width="1.7109375" customWidth="1"/>
    <col min="6" max="6" width="4.85546875" customWidth="1"/>
    <col min="7" max="7" width="7.28515625" customWidth="1"/>
    <col min="8" max="9" width="4.7109375" hidden="1" customWidth="1"/>
    <col min="10" max="10" width="7.85546875" customWidth="1"/>
    <col min="11" max="12" width="4.7109375" hidden="1" customWidth="1"/>
    <col min="13" max="13" width="7.85546875" customWidth="1"/>
    <col min="14" max="15" width="4.7109375" hidden="1" customWidth="1"/>
    <col min="16" max="16" width="7.42578125" customWidth="1"/>
    <col min="17" max="18" width="4.7109375" hidden="1" customWidth="1"/>
    <col min="19" max="19" width="7.85546875" customWidth="1"/>
    <col min="20" max="21" width="4.7109375" hidden="1" customWidth="1"/>
    <col min="22" max="22" width="7.85546875" customWidth="1"/>
    <col min="23" max="24" width="4.7109375" hidden="1" customWidth="1"/>
    <col min="25" max="25" width="7.85546875" customWidth="1"/>
    <col min="26" max="27" width="4.7109375" hidden="1" customWidth="1"/>
    <col min="28" max="28" width="7.85546875" customWidth="1"/>
    <col min="29" max="30" width="4.7109375" hidden="1" customWidth="1"/>
    <col min="31" max="31" width="7.85546875" customWidth="1"/>
    <col min="32" max="33" width="4.7109375" hidden="1" customWidth="1"/>
    <col min="34" max="34" width="8.5703125" customWidth="1"/>
    <col min="35" max="36" width="4.7109375" hidden="1" customWidth="1"/>
    <col min="37" max="37" width="9" customWidth="1"/>
    <col min="38" max="39" width="4.7109375" hidden="1" customWidth="1"/>
    <col min="40" max="40" width="9" customWidth="1"/>
    <col min="41" max="42" width="4.7109375" hidden="1" customWidth="1"/>
    <col min="43" max="43" width="9" customWidth="1"/>
    <col min="44" max="45" width="4.7109375" hidden="1" customWidth="1"/>
    <col min="46" max="46" width="9" customWidth="1"/>
    <col min="47" max="48" width="4.7109375" hidden="1" customWidth="1"/>
    <col min="49" max="49" width="9" customWidth="1"/>
    <col min="50" max="51" width="4.7109375" hidden="1" customWidth="1"/>
    <col min="52" max="52" width="9" customWidth="1"/>
    <col min="53" max="53" width="8.28515625" customWidth="1"/>
    <col min="54" max="54" width="1.7109375" customWidth="1"/>
    <col min="55" max="55" width="61.28515625" customWidth="1"/>
    <col min="56" max="56" width="7.42578125" customWidth="1"/>
    <col min="57" max="57" width="9.5703125" customWidth="1"/>
    <col min="58" max="58" width="7.42578125" customWidth="1"/>
    <col min="59" max="59" width="8.5703125" customWidth="1"/>
    <col min="60" max="60" width="8.85546875" customWidth="1"/>
    <col min="61" max="61" width="8.5703125" customWidth="1"/>
    <col min="62" max="62" width="8.7109375" customWidth="1"/>
    <col min="63" max="63" width="14.28515625" bestFit="1" customWidth="1"/>
    <col min="64" max="64" width="1.7109375" customWidth="1"/>
    <col min="65" max="65" width="39.7109375" customWidth="1"/>
    <col min="66" max="66" width="7.140625" customWidth="1"/>
    <col min="67" max="67" width="11.140625" customWidth="1"/>
    <col min="68" max="68" width="8.85546875" customWidth="1"/>
    <col min="69" max="69" width="8" customWidth="1"/>
    <col min="70" max="70" width="7.28515625" hidden="1" customWidth="1"/>
    <col min="71" max="83" width="6.7109375" hidden="1" customWidth="1"/>
    <col min="84" max="85" width="8.7109375" hidden="1" customWidth="1"/>
    <col min="86" max="98" width="6.7109375" hidden="1" customWidth="1"/>
    <col min="99" max="99" width="8.7109375" hidden="1" customWidth="1"/>
    <col min="100" max="112" width="4.28515625" hidden="1" customWidth="1"/>
    <col min="113" max="114" width="8.7109375" hidden="1" customWidth="1"/>
    <col min="115" max="116" width="8.7109375" customWidth="1"/>
  </cols>
  <sheetData>
    <row r="1" spans="2:116" ht="33" customHeight="1">
      <c r="J1" s="1" t="str">
        <f>DL3</f>
        <v>SIM</v>
      </c>
      <c r="K1" s="1"/>
      <c r="L1" s="1"/>
      <c r="M1" s="1" t="e">
        <f>#REF!</f>
        <v>#REF!</v>
      </c>
      <c r="N1" s="1"/>
      <c r="O1" s="1"/>
      <c r="P1" s="1" t="e">
        <f>#REF!</f>
        <v>#REF!</v>
      </c>
      <c r="Q1" s="1"/>
      <c r="R1" s="1"/>
      <c r="S1" s="1" t="e">
        <f>#REF!</f>
        <v>#REF!</v>
      </c>
      <c r="T1" s="1"/>
      <c r="U1" s="1"/>
      <c r="V1" s="1" t="e">
        <f>#REF!</f>
        <v>#REF!</v>
      </c>
      <c r="W1" s="1"/>
      <c r="X1" s="1"/>
      <c r="Y1" s="1" t="e">
        <f>#REF!</f>
        <v>#REF!</v>
      </c>
      <c r="Z1" s="1"/>
      <c r="AA1" s="1"/>
      <c r="AB1" s="1" t="e">
        <f>#REF!</f>
        <v>#REF!</v>
      </c>
      <c r="AC1" s="1"/>
      <c r="AD1" s="1"/>
      <c r="AE1" s="1" t="e">
        <f>#REF!</f>
        <v>#REF!</v>
      </c>
      <c r="AF1" s="1"/>
      <c r="AG1" s="1"/>
      <c r="AH1" s="1" t="e">
        <f>#REF!</f>
        <v>#REF!</v>
      </c>
      <c r="AI1" s="1"/>
      <c r="AJ1" s="1"/>
      <c r="AK1" s="1" t="e">
        <f>#REF!</f>
        <v>#REF!</v>
      </c>
      <c r="AL1" s="1"/>
      <c r="AM1" s="1"/>
      <c r="AN1" s="1" t="e">
        <f>#REF!</f>
        <v>#REF!</v>
      </c>
      <c r="AO1" s="1"/>
      <c r="AP1" s="1"/>
      <c r="AQ1" s="1" t="e">
        <f>#REF!</f>
        <v>#REF!</v>
      </c>
      <c r="AR1" s="1"/>
      <c r="AS1" s="1"/>
      <c r="AT1" s="1" t="e">
        <f>#REF!</f>
        <v>#REF!</v>
      </c>
      <c r="AU1" s="1"/>
      <c r="AV1" s="1"/>
      <c r="AW1" s="1" t="e">
        <f>#REF!</f>
        <v>#REF!</v>
      </c>
      <c r="AX1" s="1"/>
      <c r="AY1" s="1"/>
      <c r="AZ1" s="1" t="e">
        <f>#REF!</f>
        <v>#REF!</v>
      </c>
    </row>
    <row r="2" spans="2:116">
      <c r="B2" s="66" t="s">
        <v>0</v>
      </c>
      <c r="C2" s="67"/>
      <c r="D2" s="67"/>
      <c r="F2" s="68" t="s">
        <v>1</v>
      </c>
      <c r="G2" s="69"/>
      <c r="H2" s="2"/>
      <c r="I2" s="2"/>
      <c r="J2" s="3" t="str">
        <f>DL5</f>
        <v>SIM</v>
      </c>
      <c r="K2" s="4"/>
      <c r="L2" s="4"/>
      <c r="M2" s="4" t="e">
        <f>#REF!</f>
        <v>#REF!</v>
      </c>
      <c r="N2" s="4"/>
      <c r="O2" s="4"/>
      <c r="P2" s="4" t="e">
        <f>#REF!</f>
        <v>#REF!</v>
      </c>
      <c r="Q2" s="4"/>
      <c r="R2" s="4"/>
      <c r="S2" s="4" t="e">
        <f>#REF!</f>
        <v>#REF!</v>
      </c>
      <c r="T2" s="4"/>
      <c r="U2" s="4"/>
      <c r="V2" s="4" t="e">
        <f>#REF!</f>
        <v>#REF!</v>
      </c>
      <c r="W2" s="4"/>
      <c r="X2" s="4"/>
      <c r="Y2" s="4" t="e">
        <f>#REF!</f>
        <v>#REF!</v>
      </c>
      <c r="Z2" s="4"/>
      <c r="AA2" s="4"/>
      <c r="AB2" s="4" t="e">
        <f>#REF!</f>
        <v>#REF!</v>
      </c>
      <c r="AC2" s="4"/>
      <c r="AD2" s="4"/>
      <c r="AE2" s="4" t="e">
        <f>#REF!</f>
        <v>#REF!</v>
      </c>
      <c r="AF2" s="4"/>
      <c r="AG2" s="4"/>
      <c r="AH2" s="4" t="e">
        <f>#REF!</f>
        <v>#REF!</v>
      </c>
      <c r="AI2" s="4"/>
      <c r="AJ2" s="4"/>
      <c r="AK2" s="4" t="e">
        <f>#REF!</f>
        <v>#REF!</v>
      </c>
      <c r="AL2" s="4"/>
      <c r="AM2" s="4"/>
      <c r="AN2" s="4" t="e">
        <f>#REF!</f>
        <v>#REF!</v>
      </c>
      <c r="AO2" s="4"/>
      <c r="AP2" s="4"/>
      <c r="AQ2" s="4" t="e">
        <f>#REF!</f>
        <v>#REF!</v>
      </c>
      <c r="AR2" s="4"/>
      <c r="AS2" s="4"/>
      <c r="AT2" s="4" t="e">
        <f>#REF!</f>
        <v>#REF!</v>
      </c>
      <c r="AU2" s="4"/>
      <c r="AV2" s="4"/>
      <c r="AW2" s="4" t="e">
        <f>#REF!</f>
        <v>#REF!</v>
      </c>
      <c r="AX2" s="4"/>
      <c r="AY2" s="4"/>
      <c r="AZ2" s="4" t="e">
        <f>#REF!</f>
        <v>#REF!</v>
      </c>
      <c r="BA2" s="72" t="s">
        <v>2</v>
      </c>
      <c r="BC2" s="5" t="s">
        <v>3</v>
      </c>
      <c r="BD2" s="5" t="s">
        <v>4</v>
      </c>
      <c r="BE2" s="5" t="s">
        <v>5</v>
      </c>
      <c r="BF2" s="5" t="s">
        <v>6</v>
      </c>
      <c r="BG2" s="5" t="s">
        <v>7</v>
      </c>
      <c r="BH2" s="5" t="s">
        <v>8</v>
      </c>
      <c r="BI2" s="5" t="s">
        <v>9</v>
      </c>
      <c r="BJ2" s="5" t="s">
        <v>10</v>
      </c>
      <c r="BK2" s="5" t="s">
        <v>11</v>
      </c>
      <c r="BM2" s="6" t="s">
        <v>12</v>
      </c>
      <c r="BN2" s="6" t="s">
        <v>13</v>
      </c>
      <c r="BO2" s="6" t="s">
        <v>14</v>
      </c>
      <c r="BP2" s="6" t="s">
        <v>15</v>
      </c>
      <c r="BQ2" s="6" t="s">
        <v>16</v>
      </c>
      <c r="BR2" s="6" t="s">
        <v>17</v>
      </c>
      <c r="BS2" s="6" t="s">
        <v>18</v>
      </c>
      <c r="BT2" s="6" t="s">
        <v>19</v>
      </c>
      <c r="BU2" s="6" t="s">
        <v>20</v>
      </c>
      <c r="BV2" s="6" t="s">
        <v>21</v>
      </c>
      <c r="BW2" s="6" t="s">
        <v>22</v>
      </c>
      <c r="BX2" s="6" t="s">
        <v>23</v>
      </c>
      <c r="BY2" s="6" t="s">
        <v>24</v>
      </c>
      <c r="BZ2" s="6" t="s">
        <v>25</v>
      </c>
      <c r="CA2" s="6" t="s">
        <v>26</v>
      </c>
      <c r="CB2" s="6" t="s">
        <v>27</v>
      </c>
      <c r="CC2" s="6" t="s">
        <v>28</v>
      </c>
      <c r="CD2" s="6" t="s">
        <v>29</v>
      </c>
      <c r="CE2" s="6" t="s">
        <v>30</v>
      </c>
      <c r="CF2" s="6" t="s">
        <v>31</v>
      </c>
      <c r="CG2" s="6" t="s">
        <v>32</v>
      </c>
      <c r="CH2" s="6" t="s">
        <v>33</v>
      </c>
      <c r="CI2" s="6" t="s">
        <v>34</v>
      </c>
      <c r="CJ2" s="6" t="s">
        <v>35</v>
      </c>
      <c r="CK2" s="6" t="s">
        <v>36</v>
      </c>
      <c r="CL2" s="6" t="s">
        <v>37</v>
      </c>
      <c r="CM2" s="6" t="s">
        <v>38</v>
      </c>
      <c r="CN2" s="6" t="s">
        <v>39</v>
      </c>
      <c r="CO2" s="6" t="s">
        <v>40</v>
      </c>
      <c r="CP2" s="6" t="s">
        <v>41</v>
      </c>
      <c r="CQ2" s="6" t="s">
        <v>42</v>
      </c>
      <c r="CR2" s="6" t="s">
        <v>43</v>
      </c>
      <c r="CS2" s="6" t="s">
        <v>44</v>
      </c>
      <c r="CT2" s="6" t="s">
        <v>45</v>
      </c>
      <c r="CU2" s="6" t="s">
        <v>46</v>
      </c>
      <c r="CV2" s="6" t="s">
        <v>47</v>
      </c>
      <c r="CW2" s="6" t="s">
        <v>48</v>
      </c>
      <c r="CX2" s="6" t="s">
        <v>49</v>
      </c>
      <c r="CY2" s="6" t="s">
        <v>50</v>
      </c>
      <c r="CZ2" s="6" t="s">
        <v>51</v>
      </c>
      <c r="DA2" s="6" t="s">
        <v>52</v>
      </c>
      <c r="DB2" s="6" t="s">
        <v>53</v>
      </c>
      <c r="DC2" s="6" t="s">
        <v>54</v>
      </c>
      <c r="DD2" s="6" t="s">
        <v>55</v>
      </c>
      <c r="DE2" s="6" t="s">
        <v>56</v>
      </c>
      <c r="DF2" s="6" t="s">
        <v>57</v>
      </c>
      <c r="DG2" s="6" t="s">
        <v>58</v>
      </c>
      <c r="DH2" s="6" t="s">
        <v>59</v>
      </c>
      <c r="DI2" s="6" t="s">
        <v>60</v>
      </c>
      <c r="DJ2" s="6" t="s">
        <v>61</v>
      </c>
      <c r="DK2" s="5" t="s">
        <v>62</v>
      </c>
      <c r="DL2" s="5" t="s">
        <v>63</v>
      </c>
    </row>
    <row r="3" spans="2:116">
      <c r="B3" s="7" t="s">
        <v>64</v>
      </c>
      <c r="C3" s="7">
        <f>VLOOKUP(B2,BC3:BI309,2,0)</f>
        <v>415</v>
      </c>
      <c r="D3" s="8" t="s">
        <v>65</v>
      </c>
      <c r="F3" s="70"/>
      <c r="G3" s="71"/>
      <c r="H3" s="9"/>
      <c r="I3" s="9"/>
      <c r="J3" s="10" t="s">
        <v>66</v>
      </c>
      <c r="K3" s="11"/>
      <c r="L3" s="11"/>
      <c r="M3" s="11" t="s">
        <v>67</v>
      </c>
      <c r="N3" s="11"/>
      <c r="O3" s="11"/>
      <c r="P3" s="11" t="s">
        <v>68</v>
      </c>
      <c r="Q3" s="11"/>
      <c r="R3" s="11"/>
      <c r="S3" s="11" t="s">
        <v>69</v>
      </c>
      <c r="T3" s="11"/>
      <c r="U3" s="11"/>
      <c r="V3" s="11" t="s">
        <v>70</v>
      </c>
      <c r="W3" s="11"/>
      <c r="X3" s="11"/>
      <c r="Y3" s="11" t="s">
        <v>71</v>
      </c>
      <c r="Z3" s="11"/>
      <c r="AA3" s="11"/>
      <c r="AB3" s="11" t="s">
        <v>72</v>
      </c>
      <c r="AC3" s="11"/>
      <c r="AD3" s="11"/>
      <c r="AE3" s="11" t="s">
        <v>73</v>
      </c>
      <c r="AF3" s="11"/>
      <c r="AG3" s="11"/>
      <c r="AH3" s="11" t="s">
        <v>74</v>
      </c>
      <c r="AI3" s="11"/>
      <c r="AJ3" s="11"/>
      <c r="AK3" s="11" t="s">
        <v>75</v>
      </c>
      <c r="AL3" s="11"/>
      <c r="AM3" s="11"/>
      <c r="AN3" s="11" t="s">
        <v>76</v>
      </c>
      <c r="AO3" s="11"/>
      <c r="AP3" s="11"/>
      <c r="AQ3" s="11" t="s">
        <v>77</v>
      </c>
      <c r="AR3" s="11"/>
      <c r="AS3" s="11"/>
      <c r="AT3" s="11" t="s">
        <v>78</v>
      </c>
      <c r="AU3" s="11"/>
      <c r="AV3" s="11"/>
      <c r="AW3" s="11" t="s">
        <v>79</v>
      </c>
      <c r="AX3" s="11"/>
      <c r="AY3" s="11"/>
      <c r="AZ3" s="11" t="s">
        <v>80</v>
      </c>
      <c r="BA3" s="71"/>
      <c r="BC3" t="s">
        <v>81</v>
      </c>
      <c r="BD3" s="12">
        <v>530</v>
      </c>
      <c r="BE3" s="12">
        <v>46.3</v>
      </c>
      <c r="BF3" s="12">
        <v>38.799999999999997</v>
      </c>
      <c r="BG3" s="12">
        <v>-0.28000000000000003</v>
      </c>
      <c r="BH3" s="12">
        <v>13.67</v>
      </c>
      <c r="BI3" s="12">
        <v>14.49</v>
      </c>
      <c r="BJ3" s="12"/>
      <c r="BK3" s="12"/>
      <c r="BM3" t="s">
        <v>82</v>
      </c>
      <c r="BN3">
        <v>6</v>
      </c>
      <c r="BO3">
        <f>Table_2[[#This Row],[Pnom]]*1.7*1000</f>
        <v>10200</v>
      </c>
      <c r="BP3">
        <v>550</v>
      </c>
      <c r="BQ3">
        <v>60</v>
      </c>
      <c r="BR3" s="13">
        <v>20</v>
      </c>
      <c r="BS3">
        <v>20</v>
      </c>
      <c r="CF3" s="14"/>
      <c r="CG3">
        <v>16</v>
      </c>
      <c r="CH3">
        <v>16</v>
      </c>
      <c r="CU3" s="14"/>
      <c r="CV3">
        <v>1</v>
      </c>
      <c r="CW3">
        <v>1</v>
      </c>
      <c r="DK3" s="15">
        <v>186192</v>
      </c>
      <c r="DL3" s="15" t="s">
        <v>516</v>
      </c>
    </row>
    <row r="4" spans="2:116">
      <c r="B4" s="7" t="s">
        <v>83</v>
      </c>
      <c r="C4" s="7">
        <f>VLOOKUP(B2,BC3:BI309,3,0)</f>
        <v>40.700000000000003</v>
      </c>
      <c r="D4" s="8" t="s">
        <v>84</v>
      </c>
      <c r="F4" s="16">
        <v>1</v>
      </c>
      <c r="G4" s="17">
        <f t="shared" ref="G4:G8" si="0">IF(OR(J4&lt;&gt;0,M4&lt;&gt;0,P4&lt;&gt;0,S4&lt;&gt;0,V4&lt;&gt;0,Y4&lt;&gt;0,AB4&lt;&gt;0,AE4&lt;&gt;0,AH4&lt;&gt;0,AK4&lt;&gt;0,AN4&lt;&gt;0,AQ4&lt;&gt;0,AT4&lt;&gt;0,AW4&lt;&gt;0,AZ4&lt;&gt;0),$C$26,0)</f>
        <v>0</v>
      </c>
      <c r="H4" s="18">
        <f>IF($F4&lt;=J$2,$C$26,0)</f>
        <v>12</v>
      </c>
      <c r="I4" s="19">
        <f>IF(H4&lt;$C$23,0,H4)</f>
        <v>12</v>
      </c>
      <c r="J4" s="20">
        <v>0</v>
      </c>
      <c r="K4" s="18" t="e">
        <f>IF($F4&lt;=M$2,$C$26,0)</f>
        <v>#REF!</v>
      </c>
      <c r="L4" s="19" t="e">
        <f>IF(K4&lt;$C$23,0,K4)</f>
        <v>#REF!</v>
      </c>
      <c r="M4" s="21">
        <v>0</v>
      </c>
      <c r="N4" s="18" t="e">
        <f>IF($F4&lt;=P$2,$C$26,0)</f>
        <v>#REF!</v>
      </c>
      <c r="O4" s="19" t="e">
        <f>IF(N4&lt;$C$23,0,N4)</f>
        <v>#REF!</v>
      </c>
      <c r="P4" s="21">
        <v>0</v>
      </c>
      <c r="Q4" s="18" t="e">
        <f>IF($F4&lt;=S$2,$C$26,0)</f>
        <v>#REF!</v>
      </c>
      <c r="R4" s="19" t="e">
        <f>IF(Q4&lt;$C$23,0,Q4)</f>
        <v>#REF!</v>
      </c>
      <c r="S4" s="21">
        <v>0</v>
      </c>
      <c r="T4" s="18" t="e">
        <f>IF($F4&lt;=V$2,$C$26,0)</f>
        <v>#REF!</v>
      </c>
      <c r="U4" s="19" t="e">
        <f>IF(T4&lt;$C$23,0,T4)</f>
        <v>#REF!</v>
      </c>
      <c r="V4" s="21">
        <v>0</v>
      </c>
      <c r="W4" s="18" t="e">
        <f>IF($F4&lt;=Y$2,$C$26,0)</f>
        <v>#REF!</v>
      </c>
      <c r="X4" s="19" t="e">
        <f>IF(W4&lt;$C$23,0,W4)</f>
        <v>#REF!</v>
      </c>
      <c r="Y4" s="21">
        <v>0</v>
      </c>
      <c r="Z4" s="18" t="e">
        <f>IF($F4&lt;=AB$2,$C$26,0)</f>
        <v>#REF!</v>
      </c>
      <c r="AA4" s="19" t="e">
        <f>IF(Z4&lt;$C$23,0,Z4)</f>
        <v>#REF!</v>
      </c>
      <c r="AB4" s="21">
        <v>0</v>
      </c>
      <c r="AC4" s="18" t="e">
        <f>IF($F4&lt;=AE$2,$C$26,0)</f>
        <v>#REF!</v>
      </c>
      <c r="AD4" s="19" t="e">
        <f>IF(AC4&lt;$C$23,0,AC4)</f>
        <v>#REF!</v>
      </c>
      <c r="AE4" s="21">
        <v>0</v>
      </c>
      <c r="AF4" s="18" t="e">
        <f>IF($F4&lt;=AH$2,$C$26,0)</f>
        <v>#REF!</v>
      </c>
      <c r="AG4" s="19" t="e">
        <f>IF(AF4&lt;$C$23,0,AF4)</f>
        <v>#REF!</v>
      </c>
      <c r="AH4" s="21">
        <v>0</v>
      </c>
      <c r="AI4" s="18" t="e">
        <f>IF($F4&lt;=AK$2,$C$26,0)</f>
        <v>#REF!</v>
      </c>
      <c r="AJ4" s="19" t="e">
        <f>IF(AI4&lt;$C$23,0,AI4)</f>
        <v>#REF!</v>
      </c>
      <c r="AK4" s="21">
        <v>0</v>
      </c>
      <c r="AL4" s="18" t="e">
        <f>IF($F4&lt;=AN$2,$C$26,0)</f>
        <v>#REF!</v>
      </c>
      <c r="AM4" s="19" t="e">
        <f>IF(AL4&lt;$C$23,0,AL4)</f>
        <v>#REF!</v>
      </c>
      <c r="AN4" s="21">
        <v>0</v>
      </c>
      <c r="AO4" s="18" t="e">
        <f>IF($F4&lt;=AQ$2,$C$26,0)</f>
        <v>#REF!</v>
      </c>
      <c r="AP4" s="19" t="e">
        <f>IF(AO4&lt;$C$23,0,AO4)</f>
        <v>#REF!</v>
      </c>
      <c r="AQ4" s="21">
        <v>0</v>
      </c>
      <c r="AR4" s="18" t="e">
        <f>IF($F4&lt;=AT$2,$C$26,0)</f>
        <v>#REF!</v>
      </c>
      <c r="AS4" s="19" t="e">
        <f>IF(AR4&lt;$C$23,0,AR4)</f>
        <v>#REF!</v>
      </c>
      <c r="AT4" s="21">
        <v>0</v>
      </c>
      <c r="AU4" s="18" t="e">
        <f>IF($F4&lt;=AW$2,$C$26,0)</f>
        <v>#REF!</v>
      </c>
      <c r="AV4" s="19" t="e">
        <f>IF(AU4&lt;$C$23,0,AU4)</f>
        <v>#REF!</v>
      </c>
      <c r="AW4" s="21">
        <v>0</v>
      </c>
      <c r="AX4" s="18" t="e">
        <f>IF($F4&lt;=AZ$2,$C$26,0)</f>
        <v>#REF!</v>
      </c>
      <c r="AY4" s="19" t="e">
        <f>IF(AX4&lt;$C$23,0,AX4)</f>
        <v>#REF!</v>
      </c>
      <c r="AZ4" s="21">
        <v>0</v>
      </c>
      <c r="BA4" s="22" t="e">
        <f t="shared" ref="BA4:BA63" si="1">I4*J4+L4*M4+O4*P4+R4*S4+U4*V4+X4*Y4+AA4*AB4+AD4*AE4+AG4*AH4+AJ4*AK4+AM4*AN4+AP4*AQ4+AS4*AT4+AV4*AW4+AY4*AZ4</f>
        <v>#REF!</v>
      </c>
      <c r="BC4" t="s">
        <v>85</v>
      </c>
      <c r="BD4" s="12">
        <v>535</v>
      </c>
      <c r="BE4" s="12">
        <v>46.5</v>
      </c>
      <c r="BF4" s="12">
        <v>39</v>
      </c>
      <c r="BG4" s="12">
        <v>-0.28000000000000003</v>
      </c>
      <c r="BH4" s="12">
        <v>13.71</v>
      </c>
      <c r="BI4" s="12">
        <v>14.45</v>
      </c>
      <c r="BJ4" s="12"/>
      <c r="BK4" s="12"/>
      <c r="BM4" t="s">
        <v>86</v>
      </c>
      <c r="BN4">
        <v>10.5</v>
      </c>
      <c r="BO4">
        <v>21000</v>
      </c>
      <c r="BP4">
        <v>550</v>
      </c>
      <c r="BQ4">
        <v>40</v>
      </c>
      <c r="BR4" s="23">
        <v>40</v>
      </c>
      <c r="BS4">
        <v>25</v>
      </c>
      <c r="CF4" s="24"/>
      <c r="CG4">
        <v>32</v>
      </c>
      <c r="CH4">
        <v>20</v>
      </c>
      <c r="CU4" s="24"/>
      <c r="CV4">
        <v>2</v>
      </c>
      <c r="CW4">
        <v>1</v>
      </c>
      <c r="DK4" s="25"/>
      <c r="DL4" s="25"/>
    </row>
    <row r="5" spans="2:116">
      <c r="B5" s="7" t="s">
        <v>87</v>
      </c>
      <c r="C5" s="7">
        <f>VLOOKUP(B2,BC3:BI309,4,0)</f>
        <v>35.299999999999997</v>
      </c>
      <c r="D5" s="8" t="s">
        <v>84</v>
      </c>
      <c r="F5" s="26">
        <v>2</v>
      </c>
      <c r="G5" s="27">
        <f t="shared" si="0"/>
        <v>12</v>
      </c>
      <c r="H5" s="21">
        <f t="shared" ref="H5:H8" si="2">IF($F5&lt;=J$2,H$4*$F5,0)</f>
        <v>24</v>
      </c>
      <c r="I5" s="19">
        <f>IF(H4&lt;$C$23,0,H5)</f>
        <v>24</v>
      </c>
      <c r="J5" s="20">
        <v>1</v>
      </c>
      <c r="K5" s="21" t="e">
        <f t="shared" ref="K5:K8" si="3">IF($F5&lt;=M$2,K$4*$F5,0)</f>
        <v>#REF!</v>
      </c>
      <c r="L5" s="19" t="e">
        <f>IF(K4&lt;$C$23,0,K5)</f>
        <v>#REF!</v>
      </c>
      <c r="M5" s="21">
        <v>1</v>
      </c>
      <c r="N5" s="21" t="e">
        <f t="shared" ref="N5:N8" si="4">IF($F5&lt;=P$2,N$4*$F5,0)</f>
        <v>#REF!</v>
      </c>
      <c r="O5" s="19" t="e">
        <f>IF(N4&lt;$C$23,0,N5)</f>
        <v>#REF!</v>
      </c>
      <c r="P5" s="21">
        <v>1</v>
      </c>
      <c r="Q5" s="21" t="e">
        <f t="shared" ref="Q5:Q8" si="5">IF($F5&lt;=S$2,Q$4*$F5,0)</f>
        <v>#REF!</v>
      </c>
      <c r="R5" s="19" t="e">
        <f>IF(Q4&lt;$C$23,0,Q5)</f>
        <v>#REF!</v>
      </c>
      <c r="S5" s="21">
        <v>1</v>
      </c>
      <c r="T5" s="21" t="e">
        <f t="shared" ref="T5:T8" si="6">IF($F5&lt;=V$2,T$4*$F5,0)</f>
        <v>#REF!</v>
      </c>
      <c r="U5" s="19" t="e">
        <f>IF(T4&lt;$C$23,0,T5)</f>
        <v>#REF!</v>
      </c>
      <c r="V5" s="21">
        <v>0</v>
      </c>
      <c r="W5" s="21" t="e">
        <f t="shared" ref="W5:W8" si="7">IF($F5&lt;=Y$2,W$4*$F5,0)</f>
        <v>#REF!</v>
      </c>
      <c r="X5" s="19" t="e">
        <f>IF(W4&lt;$C$23,0,W5)</f>
        <v>#REF!</v>
      </c>
      <c r="Y5" s="21">
        <v>0</v>
      </c>
      <c r="Z5" s="21" t="e">
        <f t="shared" ref="Z5:Z8" si="8">IF($F5&lt;=AB$2,Z$4*$F5,0)</f>
        <v>#REF!</v>
      </c>
      <c r="AA5" s="19" t="e">
        <f>IF(Z4&lt;$C$23,0,Z5)</f>
        <v>#REF!</v>
      </c>
      <c r="AB5" s="21">
        <v>0</v>
      </c>
      <c r="AC5" s="21" t="e">
        <f t="shared" ref="AC5:AC8" si="9">IF($F5&lt;=AE$2,AC$4*$F5,0)</f>
        <v>#REF!</v>
      </c>
      <c r="AD5" s="19" t="e">
        <f>IF(AC4&lt;$C$23,0,AC5)</f>
        <v>#REF!</v>
      </c>
      <c r="AE5" s="21">
        <v>0</v>
      </c>
      <c r="AF5" s="21" t="e">
        <f t="shared" ref="AF5:AF8" si="10">IF($F5&lt;=AH$2,AF$4*$F5,0)</f>
        <v>#REF!</v>
      </c>
      <c r="AG5" s="19" t="e">
        <f>IF(AF4&lt;$C$23,0,AF5)</f>
        <v>#REF!</v>
      </c>
      <c r="AH5" s="21">
        <v>0</v>
      </c>
      <c r="AI5" s="21" t="e">
        <f t="shared" ref="AI5:AI8" si="11">IF($F5&lt;=AK$2,AI$4*$F5,0)</f>
        <v>#REF!</v>
      </c>
      <c r="AJ5" s="19" t="e">
        <f>IF(AI4&lt;$C$23,0,AI5)</f>
        <v>#REF!</v>
      </c>
      <c r="AK5" s="21">
        <v>0</v>
      </c>
      <c r="AL5" s="21" t="e">
        <f t="shared" ref="AL5:AL8" si="12">IF($F5&lt;=AN$2,AL$4*$F5,0)</f>
        <v>#REF!</v>
      </c>
      <c r="AM5" s="19" t="e">
        <f>IF(AL4&lt;$C$23,0,AL5)</f>
        <v>#REF!</v>
      </c>
      <c r="AN5" s="21">
        <v>0</v>
      </c>
      <c r="AO5" s="21" t="e">
        <f t="shared" ref="AO5:AO8" si="13">IF($F5&lt;=AQ$2,AO$4*$F5,0)</f>
        <v>#REF!</v>
      </c>
      <c r="AP5" s="19" t="e">
        <f>IF(AO4&lt;$C$23,0,AO5)</f>
        <v>#REF!</v>
      </c>
      <c r="AQ5" s="21">
        <v>0</v>
      </c>
      <c r="AR5" s="21" t="e">
        <f t="shared" ref="AR5:AR8" si="14">IF($F5&lt;=AT$2,AR$4*$F5,0)</f>
        <v>#REF!</v>
      </c>
      <c r="AS5" s="19" t="e">
        <f>IF(AR4&lt;$C$23,0,AR5)</f>
        <v>#REF!</v>
      </c>
      <c r="AT5" s="21">
        <v>0</v>
      </c>
      <c r="AU5" s="21" t="e">
        <f t="shared" ref="AU5:AU8" si="15">IF($F5&lt;=AW$2,AU$4*$F5,0)</f>
        <v>#REF!</v>
      </c>
      <c r="AV5" s="19" t="e">
        <f>IF(AU4&lt;$C$23,0,AU5)</f>
        <v>#REF!</v>
      </c>
      <c r="AW5" s="21">
        <v>0</v>
      </c>
      <c r="AX5" s="21" t="e">
        <f t="shared" ref="AX5:AX8" si="16">IF($F5&lt;=AZ$2,AX$4*$F5,0)</f>
        <v>#REF!</v>
      </c>
      <c r="AY5" s="19" t="e">
        <f>IF(AX4&lt;$C$23,0,AX5)</f>
        <v>#REF!</v>
      </c>
      <c r="AZ5" s="21">
        <v>0</v>
      </c>
      <c r="BA5" s="22" t="e">
        <f t="shared" si="1"/>
        <v>#REF!</v>
      </c>
      <c r="BC5" t="s">
        <v>88</v>
      </c>
      <c r="BD5" s="12">
        <v>710</v>
      </c>
      <c r="BE5" s="12">
        <v>48</v>
      </c>
      <c r="BF5" s="12">
        <v>40.4</v>
      </c>
      <c r="BG5" s="12">
        <v>-0.25</v>
      </c>
      <c r="BH5" s="12">
        <v>17.57</v>
      </c>
      <c r="BI5" s="12">
        <v>18.61</v>
      </c>
      <c r="BJ5" s="12"/>
      <c r="BK5" s="12"/>
      <c r="BM5" t="s">
        <v>89</v>
      </c>
      <c r="BN5">
        <v>10</v>
      </c>
      <c r="BO5">
        <v>20000</v>
      </c>
      <c r="BP5">
        <v>600</v>
      </c>
      <c r="BQ5">
        <v>40</v>
      </c>
      <c r="BR5" s="23">
        <v>40</v>
      </c>
      <c r="BS5">
        <v>20</v>
      </c>
      <c r="CF5" s="24"/>
      <c r="CG5">
        <v>32</v>
      </c>
      <c r="CH5">
        <v>16</v>
      </c>
      <c r="CU5" s="24"/>
      <c r="CV5">
        <v>2</v>
      </c>
      <c r="CW5">
        <v>1</v>
      </c>
      <c r="DK5" s="15">
        <v>167963</v>
      </c>
      <c r="DL5" s="15" t="s">
        <v>516</v>
      </c>
    </row>
    <row r="6" spans="2:116">
      <c r="B6" s="7" t="s">
        <v>7</v>
      </c>
      <c r="C6" s="28">
        <f>VLOOKUP(B2,BC3:BI309,5,0)</f>
        <v>-0.23</v>
      </c>
      <c r="D6" s="8" t="s">
        <v>7</v>
      </c>
      <c r="F6" s="26">
        <v>3</v>
      </c>
      <c r="G6" s="27">
        <f t="shared" si="0"/>
        <v>0</v>
      </c>
      <c r="H6" s="21">
        <f t="shared" si="2"/>
        <v>36</v>
      </c>
      <c r="I6" s="19">
        <f>IF(H4&lt;$C$23,0,H6)</f>
        <v>36</v>
      </c>
      <c r="J6" s="20">
        <v>0</v>
      </c>
      <c r="K6" s="21" t="e">
        <f t="shared" si="3"/>
        <v>#REF!</v>
      </c>
      <c r="L6" s="19" t="e">
        <f>IF(K4&lt;$C$23,0,K6)</f>
        <v>#REF!</v>
      </c>
      <c r="M6" s="21">
        <v>0</v>
      </c>
      <c r="N6" s="21" t="e">
        <f t="shared" si="4"/>
        <v>#REF!</v>
      </c>
      <c r="O6" s="19" t="e">
        <f>IF(N4&lt;$C$23,0,N6)</f>
        <v>#REF!</v>
      </c>
      <c r="P6" s="21">
        <v>0</v>
      </c>
      <c r="Q6" s="21" t="e">
        <f t="shared" si="5"/>
        <v>#REF!</v>
      </c>
      <c r="R6" s="19" t="e">
        <f>IF(Q4&lt;$C$23,0,Q6)</f>
        <v>#REF!</v>
      </c>
      <c r="S6" s="21">
        <v>0</v>
      </c>
      <c r="T6" s="21" t="e">
        <f t="shared" si="6"/>
        <v>#REF!</v>
      </c>
      <c r="U6" s="19" t="e">
        <f>IF(T4&lt;$C$23,0,T6)</f>
        <v>#REF!</v>
      </c>
      <c r="V6" s="21">
        <v>0</v>
      </c>
      <c r="W6" s="21" t="e">
        <f t="shared" si="7"/>
        <v>#REF!</v>
      </c>
      <c r="X6" s="19" t="e">
        <f>IF(W4&lt;$C$23,0,W6)</f>
        <v>#REF!</v>
      </c>
      <c r="Y6" s="21">
        <v>0</v>
      </c>
      <c r="Z6" s="21" t="e">
        <f t="shared" si="8"/>
        <v>#REF!</v>
      </c>
      <c r="AA6" s="19" t="e">
        <f>IF(Z4&lt;$C$23,0,Z6)</f>
        <v>#REF!</v>
      </c>
      <c r="AB6" s="21">
        <v>0</v>
      </c>
      <c r="AC6" s="21" t="e">
        <f t="shared" si="9"/>
        <v>#REF!</v>
      </c>
      <c r="AD6" s="19" t="e">
        <f>IF(AC4&lt;$C$23,0,AC6)</f>
        <v>#REF!</v>
      </c>
      <c r="AE6" s="21">
        <v>0</v>
      </c>
      <c r="AF6" s="21" t="e">
        <f t="shared" si="10"/>
        <v>#REF!</v>
      </c>
      <c r="AG6" s="19" t="e">
        <f>IF(AF4&lt;$C$23,0,AF6)</f>
        <v>#REF!</v>
      </c>
      <c r="AH6" s="21">
        <v>0</v>
      </c>
      <c r="AI6" s="21" t="e">
        <f t="shared" si="11"/>
        <v>#REF!</v>
      </c>
      <c r="AJ6" s="19" t="e">
        <f>IF(AI4&lt;$C$23,0,AI6)</f>
        <v>#REF!</v>
      </c>
      <c r="AK6" s="21">
        <v>0</v>
      </c>
      <c r="AL6" s="21" t="e">
        <f t="shared" si="12"/>
        <v>#REF!</v>
      </c>
      <c r="AM6" s="19" t="e">
        <f>IF(AL4&lt;$C$23,0,AL6)</f>
        <v>#REF!</v>
      </c>
      <c r="AN6" s="21">
        <v>0</v>
      </c>
      <c r="AO6" s="21" t="e">
        <f t="shared" si="13"/>
        <v>#REF!</v>
      </c>
      <c r="AP6" s="19" t="e">
        <f>IF(AO4&lt;$C$23,0,AO6)</f>
        <v>#REF!</v>
      </c>
      <c r="AQ6" s="21">
        <v>0</v>
      </c>
      <c r="AR6" s="21" t="e">
        <f t="shared" si="14"/>
        <v>#REF!</v>
      </c>
      <c r="AS6" s="19" t="e">
        <f>IF(AR4&lt;$C$23,0,AR6)</f>
        <v>#REF!</v>
      </c>
      <c r="AT6" s="21">
        <v>0</v>
      </c>
      <c r="AU6" s="21" t="e">
        <f t="shared" si="15"/>
        <v>#REF!</v>
      </c>
      <c r="AV6" s="19" t="e">
        <f>IF(AU4&lt;$C$23,0,AU6)</f>
        <v>#REF!</v>
      </c>
      <c r="AW6" s="21">
        <v>0</v>
      </c>
      <c r="AX6" s="21" t="e">
        <f t="shared" si="16"/>
        <v>#REF!</v>
      </c>
      <c r="AY6" s="19" t="e">
        <f>IF(AX4&lt;$C$23,0,AX6)</f>
        <v>#REF!</v>
      </c>
      <c r="AZ6" s="21">
        <v>0</v>
      </c>
      <c r="BA6" s="22" t="e">
        <f t="shared" si="1"/>
        <v>#REF!</v>
      </c>
      <c r="BC6" t="s">
        <v>90</v>
      </c>
      <c r="BD6">
        <v>710</v>
      </c>
      <c r="BE6">
        <v>48.94</v>
      </c>
      <c r="BF6">
        <v>40.69</v>
      </c>
      <c r="BG6">
        <v>-0.25900000000000001</v>
      </c>
      <c r="BH6">
        <v>17.45</v>
      </c>
      <c r="BI6">
        <v>18.45</v>
      </c>
      <c r="BJ6" s="12">
        <v>201741</v>
      </c>
      <c r="BK6" s="12" t="s">
        <v>516</v>
      </c>
      <c r="BM6" t="s">
        <v>91</v>
      </c>
      <c r="BN6">
        <v>15</v>
      </c>
      <c r="BO6">
        <f>$BN6*1000*2</f>
        <v>30000</v>
      </c>
      <c r="BP6">
        <v>1100</v>
      </c>
      <c r="BQ6">
        <v>140</v>
      </c>
      <c r="BR6" s="23">
        <v>32</v>
      </c>
      <c r="BS6">
        <v>25</v>
      </c>
      <c r="CF6" s="24"/>
      <c r="CG6">
        <v>26</v>
      </c>
      <c r="CH6">
        <v>20</v>
      </c>
      <c r="CU6" s="24"/>
      <c r="CV6">
        <v>2</v>
      </c>
      <c r="CW6">
        <v>1</v>
      </c>
      <c r="DK6" s="25">
        <v>179270</v>
      </c>
      <c r="DL6" s="25" t="s">
        <v>516</v>
      </c>
    </row>
    <row r="7" spans="2:116">
      <c r="B7" s="7" t="s">
        <v>9</v>
      </c>
      <c r="C7" s="29">
        <f>VLOOKUP($B$2,BC3:BI309,7,0)</f>
        <v>12.64</v>
      </c>
      <c r="D7" s="8" t="s">
        <v>92</v>
      </c>
      <c r="F7" s="26">
        <v>4</v>
      </c>
      <c r="G7" s="27">
        <f t="shared" si="0"/>
        <v>0</v>
      </c>
      <c r="H7" s="21">
        <f t="shared" si="2"/>
        <v>48</v>
      </c>
      <c r="I7" s="19">
        <f>IF(H4&lt;$C$23,0,H7)</f>
        <v>48</v>
      </c>
      <c r="J7" s="20">
        <v>0</v>
      </c>
      <c r="K7" s="21" t="e">
        <f t="shared" si="3"/>
        <v>#REF!</v>
      </c>
      <c r="L7" s="19" t="e">
        <f>IF(K4&lt;$C$23,0,K7)</f>
        <v>#REF!</v>
      </c>
      <c r="M7" s="21">
        <v>0</v>
      </c>
      <c r="N7" s="21" t="e">
        <f t="shared" si="4"/>
        <v>#REF!</v>
      </c>
      <c r="O7" s="19" t="e">
        <f>IF(N4&lt;$C$23,0,N7)</f>
        <v>#REF!</v>
      </c>
      <c r="P7" s="21">
        <v>0</v>
      </c>
      <c r="Q7" s="21" t="e">
        <f t="shared" si="5"/>
        <v>#REF!</v>
      </c>
      <c r="R7" s="19" t="e">
        <f>IF(Q4&lt;$C$23,0,Q7)</f>
        <v>#REF!</v>
      </c>
      <c r="S7" s="21">
        <v>0</v>
      </c>
      <c r="T7" s="21" t="e">
        <f t="shared" si="6"/>
        <v>#REF!</v>
      </c>
      <c r="U7" s="19" t="e">
        <f>IF(T4&lt;$C$23,0,T7)</f>
        <v>#REF!</v>
      </c>
      <c r="V7" s="21">
        <v>0</v>
      </c>
      <c r="W7" s="21" t="e">
        <f t="shared" si="7"/>
        <v>#REF!</v>
      </c>
      <c r="X7" s="19" t="e">
        <f>IF(W4&lt;$C$23,0,W7)</f>
        <v>#REF!</v>
      </c>
      <c r="Y7" s="21">
        <v>0</v>
      </c>
      <c r="Z7" s="21" t="e">
        <f t="shared" si="8"/>
        <v>#REF!</v>
      </c>
      <c r="AA7" s="19" t="e">
        <f>IF(Z4&lt;$C$23,0,Z7)</f>
        <v>#REF!</v>
      </c>
      <c r="AB7" s="21">
        <v>0</v>
      </c>
      <c r="AC7" s="21" t="e">
        <f t="shared" si="9"/>
        <v>#REF!</v>
      </c>
      <c r="AD7" s="19" t="e">
        <f>IF(AC4&lt;$C$23,0,AC7)</f>
        <v>#REF!</v>
      </c>
      <c r="AE7" s="21">
        <v>0</v>
      </c>
      <c r="AF7" s="21" t="e">
        <f t="shared" si="10"/>
        <v>#REF!</v>
      </c>
      <c r="AG7" s="19" t="e">
        <f>IF(AF4&lt;$C$23,0,AF7)</f>
        <v>#REF!</v>
      </c>
      <c r="AH7" s="21">
        <v>0</v>
      </c>
      <c r="AI7" s="21" t="e">
        <f t="shared" si="11"/>
        <v>#REF!</v>
      </c>
      <c r="AJ7" s="19" t="e">
        <f>IF(AI4&lt;$C$23,0,AI7)</f>
        <v>#REF!</v>
      </c>
      <c r="AK7" s="21">
        <v>0</v>
      </c>
      <c r="AL7" s="21" t="e">
        <f t="shared" si="12"/>
        <v>#REF!</v>
      </c>
      <c r="AM7" s="19" t="e">
        <f>IF(AL4&lt;$C$23,0,AL7)</f>
        <v>#REF!</v>
      </c>
      <c r="AN7" s="21">
        <v>0</v>
      </c>
      <c r="AO7" s="21" t="e">
        <f t="shared" si="13"/>
        <v>#REF!</v>
      </c>
      <c r="AP7" s="19" t="e">
        <f>IF(AO4&lt;$C$23,0,AO7)</f>
        <v>#REF!</v>
      </c>
      <c r="AQ7" s="21">
        <v>0</v>
      </c>
      <c r="AR7" s="21" t="e">
        <f t="shared" si="14"/>
        <v>#REF!</v>
      </c>
      <c r="AS7" s="19" t="e">
        <f>IF(AR4&lt;$C$23,0,AR7)</f>
        <v>#REF!</v>
      </c>
      <c r="AT7" s="21">
        <v>0</v>
      </c>
      <c r="AU7" s="21" t="e">
        <f t="shared" si="15"/>
        <v>#REF!</v>
      </c>
      <c r="AV7" s="19" t="e">
        <f>IF(AU4&lt;$C$23,0,AU7)</f>
        <v>#REF!</v>
      </c>
      <c r="AW7" s="21">
        <v>0</v>
      </c>
      <c r="AX7" s="21" t="e">
        <f t="shared" si="16"/>
        <v>#REF!</v>
      </c>
      <c r="AY7" s="19" t="e">
        <f>IF(AX4&lt;$C$23,0,AX7)</f>
        <v>#REF!</v>
      </c>
      <c r="AZ7" s="21">
        <v>0</v>
      </c>
      <c r="BA7" s="22" t="e">
        <f t="shared" si="1"/>
        <v>#REF!</v>
      </c>
      <c r="BC7" t="s">
        <v>93</v>
      </c>
      <c r="BD7" s="12">
        <v>615</v>
      </c>
      <c r="BE7" s="12">
        <v>48.17</v>
      </c>
      <c r="BF7" s="12">
        <v>40.35</v>
      </c>
      <c r="BG7" s="12">
        <v>-0.25</v>
      </c>
      <c r="BH7" s="12">
        <v>15.25</v>
      </c>
      <c r="BI7" s="12">
        <v>16.14</v>
      </c>
      <c r="BJ7" s="12"/>
      <c r="BK7" s="12"/>
      <c r="BM7" t="s">
        <v>94</v>
      </c>
      <c r="BN7">
        <v>15</v>
      </c>
      <c r="BO7">
        <f>$BN7*1000*1.5</f>
        <v>22500</v>
      </c>
      <c r="BP7">
        <v>1100</v>
      </c>
      <c r="BQ7">
        <v>140</v>
      </c>
      <c r="BR7" s="23">
        <v>32</v>
      </c>
      <c r="BS7">
        <v>25</v>
      </c>
      <c r="CF7" s="24"/>
      <c r="CG7">
        <v>26</v>
      </c>
      <c r="CH7">
        <v>20</v>
      </c>
      <c r="CU7" s="24"/>
      <c r="CV7">
        <v>2</v>
      </c>
      <c r="CW7">
        <v>1</v>
      </c>
      <c r="DK7" s="15"/>
      <c r="DL7" s="15"/>
    </row>
    <row r="8" spans="2:116">
      <c r="D8" s="8"/>
      <c r="F8" s="26">
        <v>5</v>
      </c>
      <c r="G8" s="27">
        <f t="shared" si="0"/>
        <v>0</v>
      </c>
      <c r="H8" s="21">
        <f t="shared" si="2"/>
        <v>60</v>
      </c>
      <c r="I8" s="19">
        <f>IF(H4&lt;$C$23,0,H8)</f>
        <v>60</v>
      </c>
      <c r="J8" s="20">
        <v>0</v>
      </c>
      <c r="K8" s="21" t="e">
        <f t="shared" si="3"/>
        <v>#REF!</v>
      </c>
      <c r="L8" s="19" t="e">
        <f>IF(K4&lt;$C$23,0,K8)</f>
        <v>#REF!</v>
      </c>
      <c r="M8" s="21">
        <v>0</v>
      </c>
      <c r="N8" s="21" t="e">
        <f t="shared" si="4"/>
        <v>#REF!</v>
      </c>
      <c r="O8" s="19" t="e">
        <f>IF(N4&lt;$C$23,0,N8)</f>
        <v>#REF!</v>
      </c>
      <c r="P8" s="21">
        <v>0</v>
      </c>
      <c r="Q8" s="21" t="e">
        <f t="shared" si="5"/>
        <v>#REF!</v>
      </c>
      <c r="R8" s="19" t="e">
        <f>IF(Q4&lt;$C$23,0,Q8)</f>
        <v>#REF!</v>
      </c>
      <c r="S8" s="21">
        <v>0</v>
      </c>
      <c r="T8" s="21" t="e">
        <f t="shared" si="6"/>
        <v>#REF!</v>
      </c>
      <c r="U8" s="19" t="e">
        <f>IF(T4&lt;$C$23,0,T8)</f>
        <v>#REF!</v>
      </c>
      <c r="V8" s="21">
        <v>0</v>
      </c>
      <c r="W8" s="21" t="e">
        <f t="shared" si="7"/>
        <v>#REF!</v>
      </c>
      <c r="X8" s="19" t="e">
        <f>IF(W4&lt;$C$23,0,W8)</f>
        <v>#REF!</v>
      </c>
      <c r="Y8" s="21">
        <v>0</v>
      </c>
      <c r="Z8" s="21" t="e">
        <f t="shared" si="8"/>
        <v>#REF!</v>
      </c>
      <c r="AA8" s="19" t="e">
        <f>IF(Z4&lt;$C$23,0,Z8)</f>
        <v>#REF!</v>
      </c>
      <c r="AB8" s="21">
        <v>0</v>
      </c>
      <c r="AC8" s="21" t="e">
        <f t="shared" si="9"/>
        <v>#REF!</v>
      </c>
      <c r="AD8" s="19" t="e">
        <f>IF(AC4&lt;$C$23,0,AC8)</f>
        <v>#REF!</v>
      </c>
      <c r="AE8" s="21">
        <v>0</v>
      </c>
      <c r="AF8" s="21" t="e">
        <f t="shared" si="10"/>
        <v>#REF!</v>
      </c>
      <c r="AG8" s="19" t="e">
        <f>IF(AF4&lt;$C$23,0,AF8)</f>
        <v>#REF!</v>
      </c>
      <c r="AH8" s="21">
        <v>0</v>
      </c>
      <c r="AI8" s="21" t="e">
        <f t="shared" si="11"/>
        <v>#REF!</v>
      </c>
      <c r="AJ8" s="19" t="e">
        <f>IF(AI4&lt;$C$23,0,AI8)</f>
        <v>#REF!</v>
      </c>
      <c r="AK8" s="21">
        <v>0</v>
      </c>
      <c r="AL8" s="21" t="e">
        <f t="shared" si="12"/>
        <v>#REF!</v>
      </c>
      <c r="AM8" s="19" t="e">
        <f>IF(AL4&lt;$C$23,0,AL8)</f>
        <v>#REF!</v>
      </c>
      <c r="AN8" s="21">
        <v>0</v>
      </c>
      <c r="AO8" s="21" t="e">
        <f t="shared" si="13"/>
        <v>#REF!</v>
      </c>
      <c r="AP8" s="19" t="e">
        <f>IF(AO4&lt;$C$23,0,AO8)</f>
        <v>#REF!</v>
      </c>
      <c r="AQ8" s="21">
        <v>0</v>
      </c>
      <c r="AR8" s="21" t="e">
        <f t="shared" si="14"/>
        <v>#REF!</v>
      </c>
      <c r="AS8" s="19" t="e">
        <f>IF(AR4&lt;$C$23,0,AR8)</f>
        <v>#REF!</v>
      </c>
      <c r="AT8" s="21">
        <v>0</v>
      </c>
      <c r="AU8" s="21" t="e">
        <f t="shared" si="15"/>
        <v>#REF!</v>
      </c>
      <c r="AV8" s="19" t="e">
        <f>IF(AU4&lt;$C$23,0,AU8)</f>
        <v>#REF!</v>
      </c>
      <c r="AW8" s="21">
        <v>0</v>
      </c>
      <c r="AX8" s="21" t="e">
        <f t="shared" si="16"/>
        <v>#REF!</v>
      </c>
      <c r="AY8" s="19" t="e">
        <f>IF(AX4&lt;$C$23,0,AX8)</f>
        <v>#REF!</v>
      </c>
      <c r="AZ8" s="21">
        <v>0</v>
      </c>
      <c r="BA8" s="22" t="e">
        <f t="shared" si="1"/>
        <v>#REF!</v>
      </c>
      <c r="BC8" t="s">
        <v>95</v>
      </c>
      <c r="BD8" s="12">
        <v>620</v>
      </c>
      <c r="BE8" s="12">
        <v>47.98</v>
      </c>
      <c r="BF8" s="12">
        <v>40.39</v>
      </c>
      <c r="BG8" s="12">
        <v>-0.25</v>
      </c>
      <c r="BH8" s="12">
        <v>15.35</v>
      </c>
      <c r="BI8" s="12">
        <v>16.3</v>
      </c>
      <c r="BJ8" s="12"/>
      <c r="BK8" s="12"/>
      <c r="BM8" t="s">
        <v>96</v>
      </c>
      <c r="BN8">
        <v>15</v>
      </c>
      <c r="BO8">
        <f>Table_2[[#This Row],[Pnom]]*2000</f>
        <v>30000</v>
      </c>
      <c r="BP8">
        <v>800</v>
      </c>
      <c r="BQ8">
        <v>360</v>
      </c>
      <c r="BR8" s="13">
        <v>40</v>
      </c>
      <c r="BS8">
        <v>40</v>
      </c>
      <c r="CF8" s="14"/>
      <c r="CG8">
        <v>32</v>
      </c>
      <c r="CH8">
        <v>32</v>
      </c>
      <c r="CU8" s="14"/>
      <c r="CV8">
        <v>2</v>
      </c>
      <c r="CW8">
        <v>2</v>
      </c>
      <c r="DK8" s="25">
        <v>186183</v>
      </c>
      <c r="DL8" s="25" t="s">
        <v>516</v>
      </c>
    </row>
    <row r="9" spans="2:116">
      <c r="B9" t="s">
        <v>97</v>
      </c>
      <c r="C9" s="30">
        <v>0</v>
      </c>
      <c r="D9" s="8" t="s">
        <v>98</v>
      </c>
      <c r="F9" s="26">
        <v>1</v>
      </c>
      <c r="G9" s="27">
        <f t="shared" ref="G9:G13" si="17">IF(OR(J9&lt;&gt;0,M9&lt;&gt;0,P9&lt;&gt;0,S9&lt;&gt;0,V9&lt;&gt;0,Y9&lt;&gt;0,AB9&lt;&gt;0,AE9&lt;&gt;0,AH9&lt;&gt;0,AK9&lt;&gt;0,AN9&lt;&gt;0,AQ9&lt;&gt;0,AT9&lt;&gt;0,AW9&lt;&gt;0,AZ9&lt;&gt;0),$C$26-1,0)</f>
        <v>0</v>
      </c>
      <c r="H9" s="21">
        <f>IF(AND($F9&lt;=J$2,H4&gt;0),H4-1,0)</f>
        <v>11</v>
      </c>
      <c r="I9" s="19">
        <f>IF(H9&lt;$C$23,0,H9)</f>
        <v>11</v>
      </c>
      <c r="J9" s="20">
        <v>0</v>
      </c>
      <c r="K9" s="21" t="e">
        <f>IF(AND($F9&lt;=M$2,K4&gt;0),K4-1,0)</f>
        <v>#REF!</v>
      </c>
      <c r="L9" s="19" t="e">
        <f>IF(K9&lt;$C$23,0,K9)</f>
        <v>#REF!</v>
      </c>
      <c r="M9" s="21">
        <v>0</v>
      </c>
      <c r="N9" s="21" t="e">
        <f>IF(AND($F9&lt;=P$2,N4&gt;0),N4-1,0)</f>
        <v>#REF!</v>
      </c>
      <c r="O9" s="19" t="e">
        <f>IF(N9&lt;$C$23,0,N9)</f>
        <v>#REF!</v>
      </c>
      <c r="P9" s="21">
        <v>0</v>
      </c>
      <c r="Q9" s="21" t="e">
        <f>IF(AND($F9&lt;=S$2,Q4&gt;0),Q4-1,0)</f>
        <v>#REF!</v>
      </c>
      <c r="R9" s="19" t="e">
        <f>IF(Q9&lt;$C$23,0,Q9)</f>
        <v>#REF!</v>
      </c>
      <c r="S9" s="21">
        <v>0</v>
      </c>
      <c r="T9" s="21" t="e">
        <f>IF(AND($F9&lt;=V$2,T4&gt;0),T4-1,0)</f>
        <v>#REF!</v>
      </c>
      <c r="U9" s="19" t="e">
        <f>IF(T9&lt;$C$23,0,T9)</f>
        <v>#REF!</v>
      </c>
      <c r="V9" s="21">
        <v>0</v>
      </c>
      <c r="W9" s="21" t="e">
        <f>IF(AND($F9&lt;=Y$2,W4&gt;0),W4-1,0)</f>
        <v>#REF!</v>
      </c>
      <c r="X9" s="19" t="e">
        <f>IF(W9&lt;$C$23,0,W9)</f>
        <v>#REF!</v>
      </c>
      <c r="Y9" s="21">
        <v>0</v>
      </c>
      <c r="Z9" s="21" t="e">
        <f>IF(AND($F9&lt;=AB$2,Z4&gt;0),Z4-1,0)</f>
        <v>#REF!</v>
      </c>
      <c r="AA9" s="19" t="e">
        <f>IF(Z9&lt;$C$23,0,Z9)</f>
        <v>#REF!</v>
      </c>
      <c r="AB9" s="21">
        <v>0</v>
      </c>
      <c r="AC9" s="21" t="e">
        <f>IF(AND($F9&lt;=AE$2,AC4&gt;0),AC4-1,0)</f>
        <v>#REF!</v>
      </c>
      <c r="AD9" s="19" t="e">
        <f>IF(AC9&lt;$C$23,0,AC9)</f>
        <v>#REF!</v>
      </c>
      <c r="AE9" s="21">
        <v>0</v>
      </c>
      <c r="AF9" s="21" t="e">
        <f>IF(AND($F9&lt;=AH$2,AF4&gt;0),AF4-1,0)</f>
        <v>#REF!</v>
      </c>
      <c r="AG9" s="19" t="e">
        <f>IF(AF9&lt;$C$23,0,AF9)</f>
        <v>#REF!</v>
      </c>
      <c r="AH9" s="21">
        <v>0</v>
      </c>
      <c r="AI9" s="21" t="e">
        <f>IF(AND($F9&lt;=AK$2,AI4&gt;0),AI4-1,0)</f>
        <v>#REF!</v>
      </c>
      <c r="AJ9" s="19" t="e">
        <f>IF(AI9&lt;$C$23,0,AI9)</f>
        <v>#REF!</v>
      </c>
      <c r="AK9" s="21">
        <v>0</v>
      </c>
      <c r="AL9" s="21" t="e">
        <f>IF(AND($F9&lt;=AN$2,AL4&gt;0),AL4-1,0)</f>
        <v>#REF!</v>
      </c>
      <c r="AM9" s="19" t="e">
        <f>IF(AL9&lt;$C$23,0,AL9)</f>
        <v>#REF!</v>
      </c>
      <c r="AN9" s="21">
        <v>0</v>
      </c>
      <c r="AO9" s="21" t="e">
        <f>IF(AND($F9&lt;=AQ$2,AO4&gt;0),AO4-1,0)</f>
        <v>#REF!</v>
      </c>
      <c r="AP9" s="19" t="e">
        <f>IF(AO9&lt;$C$23,0,AO9)</f>
        <v>#REF!</v>
      </c>
      <c r="AQ9" s="21">
        <v>0</v>
      </c>
      <c r="AR9" s="21" t="e">
        <f>IF(AND($F9&lt;=AT$2,AR4&gt;0),AR4-1,0)</f>
        <v>#REF!</v>
      </c>
      <c r="AS9" s="19" t="e">
        <f>IF(AR9&lt;$C$23,0,AR9)</f>
        <v>#REF!</v>
      </c>
      <c r="AT9" s="21">
        <v>0</v>
      </c>
      <c r="AU9" s="21" t="e">
        <f>IF(AND($F9&lt;=AW$2,AU4&gt;0),AU4-1,0)</f>
        <v>#REF!</v>
      </c>
      <c r="AV9" s="19" t="e">
        <f>IF(AU9&lt;$C$23,0,AU9)</f>
        <v>#REF!</v>
      </c>
      <c r="AW9" s="21">
        <v>0</v>
      </c>
      <c r="AX9" s="21" t="e">
        <f>IF(AND($F9&lt;=AZ$2,AX4&gt;0),AX4-1,0)</f>
        <v>#REF!</v>
      </c>
      <c r="AY9" s="19" t="e">
        <f>IF(AX9&lt;$C$23,0,AX9)</f>
        <v>#REF!</v>
      </c>
      <c r="AZ9" s="21">
        <v>0</v>
      </c>
      <c r="BA9" s="22" t="e">
        <f t="shared" si="1"/>
        <v>#REF!</v>
      </c>
      <c r="BC9" s="12" t="s">
        <v>99</v>
      </c>
      <c r="BD9" s="12">
        <v>620</v>
      </c>
      <c r="BE9" s="12">
        <v>47.98</v>
      </c>
      <c r="BF9" s="12">
        <v>40.39</v>
      </c>
      <c r="BG9" s="12">
        <v>-0.25</v>
      </c>
      <c r="BH9" s="12">
        <v>15.35</v>
      </c>
      <c r="BI9" s="12">
        <v>16.3</v>
      </c>
      <c r="BJ9" s="12">
        <v>179728</v>
      </c>
      <c r="BK9" s="12" t="s">
        <v>516</v>
      </c>
      <c r="BM9" t="s">
        <v>100</v>
      </c>
      <c r="BN9">
        <v>20</v>
      </c>
      <c r="BO9">
        <f>$BN9*1000*2</f>
        <v>40000</v>
      </c>
      <c r="BP9">
        <v>1100</v>
      </c>
      <c r="BQ9">
        <v>200</v>
      </c>
      <c r="BR9" s="23">
        <v>40</v>
      </c>
      <c r="BS9">
        <v>40</v>
      </c>
      <c r="CF9" s="24"/>
      <c r="CG9">
        <v>32</v>
      </c>
      <c r="CH9">
        <v>32</v>
      </c>
      <c r="CU9" s="24"/>
      <c r="CV9">
        <v>2</v>
      </c>
      <c r="CW9">
        <v>2</v>
      </c>
      <c r="DK9" s="15">
        <v>179271</v>
      </c>
      <c r="DL9" s="15" t="s">
        <v>516</v>
      </c>
    </row>
    <row r="10" spans="2:116">
      <c r="B10" t="s">
        <v>101</v>
      </c>
      <c r="C10">
        <f>$C$4+($C$4*$C$6/100*($C$9-25))</f>
        <v>43.04025</v>
      </c>
      <c r="D10" s="8" t="s">
        <v>84</v>
      </c>
      <c r="F10" s="26">
        <v>2</v>
      </c>
      <c r="G10" s="27">
        <f t="shared" si="17"/>
        <v>0</v>
      </c>
      <c r="H10" s="21">
        <f>IF(AND($F10&lt;=J$2,H9&gt;0),H9*$F10,0)</f>
        <v>22</v>
      </c>
      <c r="I10" s="19">
        <f>IF(H9&lt;$C$23,0,H10)</f>
        <v>22</v>
      </c>
      <c r="J10" s="20">
        <v>0</v>
      </c>
      <c r="K10" s="21" t="e">
        <f>IF(AND($F10&lt;=M$2,K9&gt;0),K9*$F10,0)</f>
        <v>#REF!</v>
      </c>
      <c r="L10" s="19" t="e">
        <f>IF(K9&lt;$C$23,0,K10)</f>
        <v>#REF!</v>
      </c>
      <c r="M10" s="21">
        <v>0</v>
      </c>
      <c r="N10" s="21" t="e">
        <f>IF(AND($F10&lt;=P$2,N9&gt;0),N9*$F10,0)</f>
        <v>#REF!</v>
      </c>
      <c r="O10" s="19" t="e">
        <f>IF(N9&lt;$C$23,0,N10)</f>
        <v>#REF!</v>
      </c>
      <c r="P10" s="21">
        <v>0</v>
      </c>
      <c r="Q10" s="21" t="e">
        <f>IF(AND($F10&lt;=S$2,Q9&gt;0),Q9*$F10,0)</f>
        <v>#REF!</v>
      </c>
      <c r="R10" s="19" t="e">
        <f>IF(Q9&lt;$C$23,0,Q10)</f>
        <v>#REF!</v>
      </c>
      <c r="S10" s="21">
        <v>0</v>
      </c>
      <c r="T10" s="21" t="e">
        <f>IF(AND($F10&lt;=V$2,T9&gt;0),T9*$F10,0)</f>
        <v>#REF!</v>
      </c>
      <c r="U10" s="19" t="e">
        <f>IF(T9&lt;$C$23,0,T10)</f>
        <v>#REF!</v>
      </c>
      <c r="V10" s="21">
        <v>0</v>
      </c>
      <c r="W10" s="21" t="e">
        <f>IF(AND($F10&lt;=Y$2,W9&gt;0),W9*$F10,0)</f>
        <v>#REF!</v>
      </c>
      <c r="X10" s="19" t="e">
        <f>IF(W9&lt;$C$23,0,W10)</f>
        <v>#REF!</v>
      </c>
      <c r="Y10" s="21">
        <v>0</v>
      </c>
      <c r="Z10" s="21" t="e">
        <f>IF(AND($F10&lt;=AB$2,Z9&gt;0),Z9*$F10,0)</f>
        <v>#REF!</v>
      </c>
      <c r="AA10" s="19" t="e">
        <f>IF(Z9&lt;$C$23,0,Z10)</f>
        <v>#REF!</v>
      </c>
      <c r="AB10" s="21">
        <v>0</v>
      </c>
      <c r="AC10" s="21" t="e">
        <f>IF(AND($F10&lt;=AE$2,AC9&gt;0),AC9*$F10,0)</f>
        <v>#REF!</v>
      </c>
      <c r="AD10" s="19" t="e">
        <f>IF(AC9&lt;$C$23,0,AC10)</f>
        <v>#REF!</v>
      </c>
      <c r="AE10" s="21">
        <v>0</v>
      </c>
      <c r="AF10" s="21" t="e">
        <f>IF(AND($F10&lt;=AH$2,AF9&gt;0),AF9*$F10,0)</f>
        <v>#REF!</v>
      </c>
      <c r="AG10" s="19" t="e">
        <f>IF(AF9&lt;$C$23,0,AF10)</f>
        <v>#REF!</v>
      </c>
      <c r="AH10" s="21">
        <v>0</v>
      </c>
      <c r="AI10" s="21" t="e">
        <f>IF(AND($F10&lt;=AK$2,AI9&gt;0),AI9*$F10,0)</f>
        <v>#REF!</v>
      </c>
      <c r="AJ10" s="19" t="e">
        <f>IF(AI9&lt;$C$23,0,AI10)</f>
        <v>#REF!</v>
      </c>
      <c r="AK10" s="21">
        <v>0</v>
      </c>
      <c r="AL10" s="21" t="e">
        <f>IF(AND($F10&lt;=AN$2,AL9&gt;0),AL9*$F10,0)</f>
        <v>#REF!</v>
      </c>
      <c r="AM10" s="19" t="e">
        <f>IF(AL9&lt;$C$23,0,AL10)</f>
        <v>#REF!</v>
      </c>
      <c r="AN10" s="21">
        <v>0</v>
      </c>
      <c r="AO10" s="21" t="e">
        <f>IF(AND($F10&lt;=AQ$2,AO9&gt;0),AO9*$F10,0)</f>
        <v>#REF!</v>
      </c>
      <c r="AP10" s="19" t="e">
        <f>IF(AO9&lt;$C$23,0,AO10)</f>
        <v>#REF!</v>
      </c>
      <c r="AQ10" s="21">
        <v>0</v>
      </c>
      <c r="AR10" s="21" t="e">
        <f>IF(AND($F10&lt;=AT$2,AR9&gt;0),AR9*$F10,0)</f>
        <v>#REF!</v>
      </c>
      <c r="AS10" s="19" t="e">
        <f>IF(AR9&lt;$C$23,0,AR10)</f>
        <v>#REF!</v>
      </c>
      <c r="AT10" s="21">
        <v>0</v>
      </c>
      <c r="AU10" s="21" t="e">
        <f>IF(AND($F10&lt;=AW$2,AU9&gt;0),AU9*$F10,0)</f>
        <v>#REF!</v>
      </c>
      <c r="AV10" s="19" t="e">
        <f>IF(AU9&lt;$C$23,0,AU10)</f>
        <v>#REF!</v>
      </c>
      <c r="AW10" s="21">
        <v>0</v>
      </c>
      <c r="AX10" s="21" t="e">
        <f>IF(AND($F10&lt;=AZ$2,AX9&gt;0),AX9*$F10,0)</f>
        <v>#REF!</v>
      </c>
      <c r="AY10" s="19" t="e">
        <f>IF(AX9&lt;$C$23,0,AX10)</f>
        <v>#REF!</v>
      </c>
      <c r="AZ10" s="21">
        <v>0</v>
      </c>
      <c r="BA10" s="22" t="e">
        <f t="shared" si="1"/>
        <v>#REF!</v>
      </c>
      <c r="BC10" t="s">
        <v>102</v>
      </c>
      <c r="BD10" s="12">
        <v>610</v>
      </c>
      <c r="BE10" s="12">
        <v>49</v>
      </c>
      <c r="BF10" s="12">
        <v>40.799999999999997</v>
      </c>
      <c r="BG10" s="12">
        <v>-0.25</v>
      </c>
      <c r="BH10" s="12">
        <v>14.96</v>
      </c>
      <c r="BI10" s="12">
        <v>15.86</v>
      </c>
      <c r="BJ10" s="12"/>
      <c r="BK10" s="12"/>
      <c r="BM10" t="s">
        <v>103</v>
      </c>
      <c r="BN10">
        <v>20</v>
      </c>
      <c r="BO10">
        <f>$BN10*1000*1.5</f>
        <v>30000</v>
      </c>
      <c r="BP10">
        <v>1100</v>
      </c>
      <c r="BQ10">
        <v>200</v>
      </c>
      <c r="BR10" s="23">
        <v>40</v>
      </c>
      <c r="BS10">
        <v>40</v>
      </c>
      <c r="CF10" s="24"/>
      <c r="CG10">
        <v>32</v>
      </c>
      <c r="CH10">
        <v>32</v>
      </c>
      <c r="CU10" s="24"/>
      <c r="CV10">
        <v>2</v>
      </c>
      <c r="CW10">
        <v>2</v>
      </c>
      <c r="DK10" s="25"/>
      <c r="DL10" s="25"/>
    </row>
    <row r="11" spans="2:116">
      <c r="B11" t="s">
        <v>104</v>
      </c>
      <c r="C11" s="30">
        <v>75</v>
      </c>
      <c r="D11" s="8" t="s">
        <v>98</v>
      </c>
      <c r="F11" s="26">
        <v>3</v>
      </c>
      <c r="G11" s="27">
        <f t="shared" si="17"/>
        <v>0</v>
      </c>
      <c r="H11" s="21">
        <f>IF(AND($F11&lt;=J$2,H9&gt;0),H9*$F11,0)</f>
        <v>33</v>
      </c>
      <c r="I11" s="19">
        <f>IF(H9&lt;$C$23,0,H11)</f>
        <v>33</v>
      </c>
      <c r="J11" s="20">
        <v>0</v>
      </c>
      <c r="K11" s="21" t="e">
        <f>IF(AND($F11&lt;=M$2,K9&gt;0),K9*$F11,0)</f>
        <v>#REF!</v>
      </c>
      <c r="L11" s="19" t="e">
        <f>IF(K9&lt;$C$23,0,K11)</f>
        <v>#REF!</v>
      </c>
      <c r="M11" s="21">
        <v>0</v>
      </c>
      <c r="N11" s="21" t="e">
        <f>IF(AND($F11&lt;=P$2,N9&gt;0),N9*$F11,0)</f>
        <v>#REF!</v>
      </c>
      <c r="O11" s="19" t="e">
        <f>IF(N9&lt;$C$23,0,N11)</f>
        <v>#REF!</v>
      </c>
      <c r="P11" s="21">
        <v>0</v>
      </c>
      <c r="Q11" s="21" t="e">
        <f>IF(AND($F11&lt;=S$2,Q9&gt;0),Q9*$F11,0)</f>
        <v>#REF!</v>
      </c>
      <c r="R11" s="19" t="e">
        <f>IF(Q9&lt;$C$23,0,Q11)</f>
        <v>#REF!</v>
      </c>
      <c r="S11" s="21">
        <v>0</v>
      </c>
      <c r="T11" s="21" t="e">
        <f>IF(AND($F11&lt;=V$2,T9&gt;0),T9*$F11,0)</f>
        <v>#REF!</v>
      </c>
      <c r="U11" s="19" t="e">
        <f>IF(T9&lt;$C$23,0,T11)</f>
        <v>#REF!</v>
      </c>
      <c r="V11" s="21">
        <v>0</v>
      </c>
      <c r="W11" s="21" t="e">
        <f>IF(AND($F11&lt;=Y$2,W9&gt;0),W9*$F11,0)</f>
        <v>#REF!</v>
      </c>
      <c r="X11" s="19" t="e">
        <f>IF(W9&lt;$C$23,0,W11)</f>
        <v>#REF!</v>
      </c>
      <c r="Y11" s="21">
        <v>0</v>
      </c>
      <c r="Z11" s="21" t="e">
        <f>IF(AND($F11&lt;=AB$2,Z9&gt;0),Z9*$F11,0)</f>
        <v>#REF!</v>
      </c>
      <c r="AA11" s="19" t="e">
        <f>IF(Z9&lt;$C$23,0,Z11)</f>
        <v>#REF!</v>
      </c>
      <c r="AB11" s="21">
        <v>0</v>
      </c>
      <c r="AC11" s="21" t="e">
        <f>IF(AND($F11&lt;=AE$2,AC9&gt;0),AC9*$F11,0)</f>
        <v>#REF!</v>
      </c>
      <c r="AD11" s="19" t="e">
        <f>IF(AC9&lt;$C$23,0,AC11)</f>
        <v>#REF!</v>
      </c>
      <c r="AE11" s="21">
        <v>0</v>
      </c>
      <c r="AF11" s="21" t="e">
        <f>IF(AND($F11&lt;=AH$2,AF9&gt;0),AF9*$F11,0)</f>
        <v>#REF!</v>
      </c>
      <c r="AG11" s="19" t="e">
        <f>IF(AF9&lt;$C$23,0,AF11)</f>
        <v>#REF!</v>
      </c>
      <c r="AH11" s="21">
        <v>0</v>
      </c>
      <c r="AI11" s="21" t="e">
        <f>IF(AND($F11&lt;=AK$2,AI9&gt;0),AI9*$F11,0)</f>
        <v>#REF!</v>
      </c>
      <c r="AJ11" s="19" t="e">
        <f>IF(AI9&lt;$C$23,0,AI11)</f>
        <v>#REF!</v>
      </c>
      <c r="AK11" s="21">
        <v>0</v>
      </c>
      <c r="AL11" s="21" t="e">
        <f>IF(AND($F11&lt;=AN$2,AL9&gt;0),AL9*$F11,0)</f>
        <v>#REF!</v>
      </c>
      <c r="AM11" s="19" t="e">
        <f>IF(AL9&lt;$C$23,0,AL11)</f>
        <v>#REF!</v>
      </c>
      <c r="AN11" s="21">
        <v>0</v>
      </c>
      <c r="AO11" s="21" t="e">
        <f>IF(AND($F11&lt;=AQ$2,AO9&gt;0),AO9*$F11,0)</f>
        <v>#REF!</v>
      </c>
      <c r="AP11" s="19" t="e">
        <f>IF(AO9&lt;$C$23,0,AO11)</f>
        <v>#REF!</v>
      </c>
      <c r="AQ11" s="21">
        <v>0</v>
      </c>
      <c r="AR11" s="21" t="e">
        <f>IF(AND($F11&lt;=AT$2,AR9&gt;0),AR9*$F11,0)</f>
        <v>#REF!</v>
      </c>
      <c r="AS11" s="19" t="e">
        <f>IF(AR9&lt;$C$23,0,AR11)</f>
        <v>#REF!</v>
      </c>
      <c r="AT11" s="21">
        <v>0</v>
      </c>
      <c r="AU11" s="21" t="e">
        <f>IF(AND($F11&lt;=AW$2,AU9&gt;0),AU9*$F11,0)</f>
        <v>#REF!</v>
      </c>
      <c r="AV11" s="19" t="e">
        <f>IF(AU9&lt;$C$23,0,AU11)</f>
        <v>#REF!</v>
      </c>
      <c r="AW11" s="21">
        <v>0</v>
      </c>
      <c r="AX11" s="21" t="e">
        <f>IF(AND($F11&lt;=AZ$2,AX9&gt;0),AX9*$F11,0)</f>
        <v>#REF!</v>
      </c>
      <c r="AY11" s="19" t="e">
        <f>IF(AX9&lt;$C$23,0,AX11)</f>
        <v>#REF!</v>
      </c>
      <c r="AZ11" s="21">
        <v>0</v>
      </c>
      <c r="BA11" s="22" t="e">
        <f t="shared" si="1"/>
        <v>#REF!</v>
      </c>
      <c r="BC11" t="s">
        <v>105</v>
      </c>
      <c r="BD11">
        <v>590</v>
      </c>
      <c r="BE11">
        <v>54.63</v>
      </c>
      <c r="BF11">
        <v>44.3</v>
      </c>
      <c r="BG11">
        <v>-0.26</v>
      </c>
      <c r="BH11">
        <v>13.17</v>
      </c>
      <c r="BI11">
        <v>13.81</v>
      </c>
      <c r="BM11" t="s">
        <v>106</v>
      </c>
      <c r="BN11">
        <v>25</v>
      </c>
      <c r="BO11">
        <f>$BN11*1000*2</f>
        <v>50000</v>
      </c>
      <c r="BP11">
        <v>1100</v>
      </c>
      <c r="BQ11">
        <v>200</v>
      </c>
      <c r="BR11" s="23">
        <v>40</v>
      </c>
      <c r="BS11">
        <v>40</v>
      </c>
      <c r="CF11" s="24"/>
      <c r="CG11">
        <v>32</v>
      </c>
      <c r="CH11">
        <v>32</v>
      </c>
      <c r="CU11" s="24"/>
      <c r="CV11">
        <v>2</v>
      </c>
      <c r="CW11">
        <v>2</v>
      </c>
      <c r="DK11" s="31">
        <v>179272</v>
      </c>
      <c r="DL11" s="31" t="s">
        <v>516</v>
      </c>
    </row>
    <row r="12" spans="2:116">
      <c r="B12" t="s">
        <v>107</v>
      </c>
      <c r="C12">
        <f>$C$5+($C$5*$C$6/100*($C$11-25))</f>
        <v>31.240499999999997</v>
      </c>
      <c r="D12" s="8" t="s">
        <v>84</v>
      </c>
      <c r="F12" s="26">
        <v>4</v>
      </c>
      <c r="G12" s="27">
        <f t="shared" si="17"/>
        <v>0</v>
      </c>
      <c r="H12" s="21">
        <f>IF(AND($F12&lt;=J$2,H9&gt;0),H9*$F12,0)</f>
        <v>44</v>
      </c>
      <c r="I12" s="19">
        <f>IF(H9&lt;$C$23,0,H12)</f>
        <v>44</v>
      </c>
      <c r="J12" s="20">
        <v>0</v>
      </c>
      <c r="K12" s="21" t="e">
        <f>IF(AND($F12&lt;=M$2,K9&gt;0),K9*$F12,0)</f>
        <v>#REF!</v>
      </c>
      <c r="L12" s="19" t="e">
        <f>IF(K9&lt;$C$23,0,K12)</f>
        <v>#REF!</v>
      </c>
      <c r="M12" s="21">
        <v>0</v>
      </c>
      <c r="N12" s="21" t="e">
        <f>IF(AND($F12&lt;=P$2,N9&gt;0),N9*$F12,0)</f>
        <v>#REF!</v>
      </c>
      <c r="O12" s="19" t="e">
        <f>IF(N9&lt;$C$23,0,N12)</f>
        <v>#REF!</v>
      </c>
      <c r="P12" s="21">
        <v>0</v>
      </c>
      <c r="Q12" s="21" t="e">
        <f>IF(AND($F12&lt;=S$2,Q9&gt;0),Q9*$F12,0)</f>
        <v>#REF!</v>
      </c>
      <c r="R12" s="19" t="e">
        <f>IF(Q9&lt;$C$23,0,Q12)</f>
        <v>#REF!</v>
      </c>
      <c r="S12" s="21">
        <v>0</v>
      </c>
      <c r="T12" s="21" t="e">
        <f>IF(AND($F12&lt;=V$2,T9&gt;0),T9*$F12,0)</f>
        <v>#REF!</v>
      </c>
      <c r="U12" s="19" t="e">
        <f>IF(T9&lt;$C$23,0,T12)</f>
        <v>#REF!</v>
      </c>
      <c r="V12" s="21">
        <v>0</v>
      </c>
      <c r="W12" s="21" t="e">
        <f>IF(AND($F12&lt;=Y$2,W9&gt;0),W9*$F12,0)</f>
        <v>#REF!</v>
      </c>
      <c r="X12" s="19" t="e">
        <f>IF(W9&lt;$C$23,0,W12)</f>
        <v>#REF!</v>
      </c>
      <c r="Y12" s="21">
        <v>0</v>
      </c>
      <c r="Z12" s="21" t="e">
        <f>IF(AND($F12&lt;=AB$2,Z9&gt;0),Z9*$F12,0)</f>
        <v>#REF!</v>
      </c>
      <c r="AA12" s="19" t="e">
        <f>IF(Z9&lt;$C$23,0,Z12)</f>
        <v>#REF!</v>
      </c>
      <c r="AB12" s="21">
        <v>0</v>
      </c>
      <c r="AC12" s="21" t="e">
        <f>IF(AND($F12&lt;=AE$2,AC9&gt;0),AC9*$F12,0)</f>
        <v>#REF!</v>
      </c>
      <c r="AD12" s="19" t="e">
        <f>IF(AC9&lt;$C$23,0,AC12)</f>
        <v>#REF!</v>
      </c>
      <c r="AE12" s="21">
        <v>0</v>
      </c>
      <c r="AF12" s="21" t="e">
        <f>IF(AND($F12&lt;=AH$2,AF9&gt;0),AF9*$F12,0)</f>
        <v>#REF!</v>
      </c>
      <c r="AG12" s="19" t="e">
        <f>IF(AF9&lt;$C$23,0,AF12)</f>
        <v>#REF!</v>
      </c>
      <c r="AH12" s="21">
        <v>0</v>
      </c>
      <c r="AI12" s="21" t="e">
        <f>IF(AND($F12&lt;=AK$2,AI9&gt;0),AI9*$F12,0)</f>
        <v>#REF!</v>
      </c>
      <c r="AJ12" s="19" t="e">
        <f>IF(AI9&lt;$C$23,0,AI12)</f>
        <v>#REF!</v>
      </c>
      <c r="AK12" s="21">
        <v>0</v>
      </c>
      <c r="AL12" s="21" t="e">
        <f>IF(AND($F12&lt;=AN$2,AL9&gt;0),AL9*$F12,0)</f>
        <v>#REF!</v>
      </c>
      <c r="AM12" s="19" t="e">
        <f>IF(AL9&lt;$C$23,0,AL12)</f>
        <v>#REF!</v>
      </c>
      <c r="AN12" s="21">
        <v>0</v>
      </c>
      <c r="AO12" s="21" t="e">
        <f>IF(AND($F12&lt;=AQ$2,AO9&gt;0),AO9*$F12,0)</f>
        <v>#REF!</v>
      </c>
      <c r="AP12" s="19" t="e">
        <f>IF(AO9&lt;$C$23,0,AO12)</f>
        <v>#REF!</v>
      </c>
      <c r="AQ12" s="21">
        <v>0</v>
      </c>
      <c r="AR12" s="21" t="e">
        <f>IF(AND($F12&lt;=AT$2,AR9&gt;0),AR9*$F12,0)</f>
        <v>#REF!</v>
      </c>
      <c r="AS12" s="19" t="e">
        <f>IF(AR9&lt;$C$23,0,AR12)</f>
        <v>#REF!</v>
      </c>
      <c r="AT12" s="21">
        <v>0</v>
      </c>
      <c r="AU12" s="21" t="e">
        <f>IF(AND($F12&lt;=AW$2,AU9&gt;0),AU9*$F12,0)</f>
        <v>#REF!</v>
      </c>
      <c r="AV12" s="19" t="e">
        <f>IF(AU9&lt;$C$23,0,AU12)</f>
        <v>#REF!</v>
      </c>
      <c r="AW12" s="21">
        <v>0</v>
      </c>
      <c r="AX12" s="21" t="e">
        <f>IF(AND($F12&lt;=AZ$2,AX9&gt;0),AX9*$F12,0)</f>
        <v>#REF!</v>
      </c>
      <c r="AY12" s="19" t="e">
        <f>IF(AX9&lt;$C$23,0,AX12)</f>
        <v>#REF!</v>
      </c>
      <c r="AZ12" s="21">
        <v>0</v>
      </c>
      <c r="BA12" s="22" t="e">
        <f t="shared" si="1"/>
        <v>#REF!</v>
      </c>
      <c r="BC12" t="s">
        <v>108</v>
      </c>
      <c r="BD12" s="12">
        <v>615</v>
      </c>
      <c r="BE12" s="12">
        <v>48.5</v>
      </c>
      <c r="BF12" s="12">
        <v>40.590000000000003</v>
      </c>
      <c r="BG12" s="12">
        <v>-0.24</v>
      </c>
      <c r="BH12" s="12">
        <v>15.08</v>
      </c>
      <c r="BI12" s="12">
        <v>16</v>
      </c>
      <c r="BJ12" s="12"/>
      <c r="BK12" s="12"/>
      <c r="BM12" t="s">
        <v>109</v>
      </c>
      <c r="BN12">
        <v>25</v>
      </c>
      <c r="BO12">
        <f>$BN12*1000*1.5</f>
        <v>37500</v>
      </c>
      <c r="BP12">
        <v>1100</v>
      </c>
      <c r="BQ12">
        <v>200</v>
      </c>
      <c r="BR12" s="23">
        <v>40</v>
      </c>
      <c r="BS12">
        <v>40</v>
      </c>
      <c r="CF12" s="24"/>
      <c r="CG12">
        <v>32</v>
      </c>
      <c r="CH12">
        <v>32</v>
      </c>
      <c r="CU12" s="24"/>
      <c r="CV12">
        <v>2</v>
      </c>
      <c r="CW12">
        <v>2</v>
      </c>
      <c r="DK12" s="25"/>
      <c r="DL12" s="25"/>
    </row>
    <row r="13" spans="2:116">
      <c r="F13" s="26">
        <v>5</v>
      </c>
      <c r="G13" s="27">
        <f t="shared" si="17"/>
        <v>0</v>
      </c>
      <c r="H13" s="21">
        <f>IF(AND($F13&lt;=J$2,H9&gt;0),H9*$F13,0)</f>
        <v>55</v>
      </c>
      <c r="I13" s="19">
        <f>IF(H9&lt;$C$23,0,H13)</f>
        <v>55</v>
      </c>
      <c r="J13" s="20">
        <v>0</v>
      </c>
      <c r="K13" s="21" t="e">
        <f>IF(AND($F13&lt;=M$2,K9&gt;0),K9*$F13,0)</f>
        <v>#REF!</v>
      </c>
      <c r="L13" s="19" t="e">
        <f>IF(K9&lt;$C$23,0,K13)</f>
        <v>#REF!</v>
      </c>
      <c r="M13" s="21">
        <v>0</v>
      </c>
      <c r="N13" s="21" t="e">
        <f>IF(AND($F13&lt;=P$2,N9&gt;0),N9*$F13,0)</f>
        <v>#REF!</v>
      </c>
      <c r="O13" s="19" t="e">
        <f>IF(N9&lt;$C$23,0,N13)</f>
        <v>#REF!</v>
      </c>
      <c r="P13" s="21">
        <v>0</v>
      </c>
      <c r="Q13" s="21" t="e">
        <f>IF(AND($F13&lt;=S$2,Q9&gt;0),Q9*$F13,0)</f>
        <v>#REF!</v>
      </c>
      <c r="R13" s="19" t="e">
        <f>IF(Q9&lt;$C$23,0,Q13)</f>
        <v>#REF!</v>
      </c>
      <c r="S13" s="21">
        <v>0</v>
      </c>
      <c r="T13" s="21" t="e">
        <f>IF(AND($F13&lt;=V$2,T9&gt;0),T9*$F13,0)</f>
        <v>#REF!</v>
      </c>
      <c r="U13" s="19" t="e">
        <f>IF(T9&lt;$C$23,0,T13)</f>
        <v>#REF!</v>
      </c>
      <c r="V13" s="21">
        <v>0</v>
      </c>
      <c r="W13" s="21" t="e">
        <f>IF(AND($F13&lt;=Y$2,W9&gt;0),W9*$F13,0)</f>
        <v>#REF!</v>
      </c>
      <c r="X13" s="19" t="e">
        <f>IF(W9&lt;$C$23,0,W13)</f>
        <v>#REF!</v>
      </c>
      <c r="Y13" s="21">
        <v>0</v>
      </c>
      <c r="Z13" s="21" t="e">
        <f>IF(AND($F13&lt;=AB$2,Z9&gt;0),Z9*$F13,0)</f>
        <v>#REF!</v>
      </c>
      <c r="AA13" s="19" t="e">
        <f>IF(Z9&lt;$C$23,0,Z13)</f>
        <v>#REF!</v>
      </c>
      <c r="AB13" s="21">
        <v>0</v>
      </c>
      <c r="AC13" s="21" t="e">
        <f>IF(AND($F13&lt;=AE$2,AC9&gt;0),AC9*$F13,0)</f>
        <v>#REF!</v>
      </c>
      <c r="AD13" s="19" t="e">
        <f>IF(AC9&lt;$C$23,0,AC13)</f>
        <v>#REF!</v>
      </c>
      <c r="AE13" s="21">
        <v>0</v>
      </c>
      <c r="AF13" s="21" t="e">
        <f>IF(AND($F13&lt;=AH$2,AF9&gt;0),AF9*$F13,0)</f>
        <v>#REF!</v>
      </c>
      <c r="AG13" s="19" t="e">
        <f>IF(AF9&lt;$C$23,0,AF13)</f>
        <v>#REF!</v>
      </c>
      <c r="AH13" s="21">
        <v>0</v>
      </c>
      <c r="AI13" s="21" t="e">
        <f>IF(AND($F13&lt;=AK$2,AI9&gt;0),AI9*$F13,0)</f>
        <v>#REF!</v>
      </c>
      <c r="AJ13" s="19" t="e">
        <f>IF(AI9&lt;$C$23,0,AI13)</f>
        <v>#REF!</v>
      </c>
      <c r="AK13" s="21">
        <v>0</v>
      </c>
      <c r="AL13" s="21" t="e">
        <f>IF(AND($F13&lt;=AN$2,AL9&gt;0),AL9*$F13,0)</f>
        <v>#REF!</v>
      </c>
      <c r="AM13" s="19" t="e">
        <f>IF(AL9&lt;$C$23,0,AL13)</f>
        <v>#REF!</v>
      </c>
      <c r="AN13" s="21">
        <v>0</v>
      </c>
      <c r="AO13" s="21" t="e">
        <f>IF(AND($F13&lt;=AQ$2,AO9&gt;0),AO9*$F13,0)</f>
        <v>#REF!</v>
      </c>
      <c r="AP13" s="19" t="e">
        <f>IF(AO9&lt;$C$23,0,AO13)</f>
        <v>#REF!</v>
      </c>
      <c r="AQ13" s="21">
        <v>0</v>
      </c>
      <c r="AR13" s="21" t="e">
        <f>IF(AND($F13&lt;=AT$2,AR9&gt;0),AR9*$F13,0)</f>
        <v>#REF!</v>
      </c>
      <c r="AS13" s="19" t="e">
        <f>IF(AR9&lt;$C$23,0,AR13)</f>
        <v>#REF!</v>
      </c>
      <c r="AT13" s="21">
        <v>0</v>
      </c>
      <c r="AU13" s="21" t="e">
        <f>IF(AND($F13&lt;=AW$2,AU9&gt;0),AU9*$F13,0)</f>
        <v>#REF!</v>
      </c>
      <c r="AV13" s="19" t="e">
        <f>IF(AU9&lt;$C$23,0,AU13)</f>
        <v>#REF!</v>
      </c>
      <c r="AW13" s="21">
        <v>0</v>
      </c>
      <c r="AX13" s="21" t="e">
        <f>IF(AND($F13&lt;=AZ$2,AX9&gt;0),AX9*$F13,0)</f>
        <v>#REF!</v>
      </c>
      <c r="AY13" s="19" t="e">
        <f>IF(AX9&lt;$C$23,0,AX13)</f>
        <v>#REF!</v>
      </c>
      <c r="AZ13" s="21">
        <v>0</v>
      </c>
      <c r="BA13" s="22" t="e">
        <f t="shared" si="1"/>
        <v>#REF!</v>
      </c>
      <c r="BC13" t="s">
        <v>110</v>
      </c>
      <c r="BD13" s="12">
        <v>620</v>
      </c>
      <c r="BE13" s="12">
        <v>48.5</v>
      </c>
      <c r="BF13" s="12">
        <v>40.24</v>
      </c>
      <c r="BG13" s="12">
        <v>-0.24</v>
      </c>
      <c r="BH13" s="12">
        <v>15.41</v>
      </c>
      <c r="BI13" s="12">
        <v>16.260000000000002</v>
      </c>
      <c r="BJ13" s="12"/>
      <c r="BK13" s="12"/>
      <c r="BM13" t="s">
        <v>111</v>
      </c>
      <c r="BN13">
        <v>25</v>
      </c>
      <c r="BO13">
        <f>Table_2[[#This Row],[Pnom]]*2000</f>
        <v>50000</v>
      </c>
      <c r="BP13">
        <v>800</v>
      </c>
      <c r="BQ13">
        <v>360</v>
      </c>
      <c r="BR13" s="13">
        <v>50</v>
      </c>
      <c r="BS13">
        <v>50</v>
      </c>
      <c r="BT13">
        <v>25</v>
      </c>
      <c r="BU13">
        <v>25</v>
      </c>
      <c r="CF13" s="14"/>
      <c r="CG13">
        <v>40</v>
      </c>
      <c r="CH13">
        <v>40</v>
      </c>
      <c r="CI13">
        <v>20</v>
      </c>
      <c r="CJ13">
        <v>20</v>
      </c>
      <c r="CU13" s="14"/>
      <c r="CV13">
        <v>2</v>
      </c>
      <c r="CW13">
        <v>2</v>
      </c>
      <c r="CX13">
        <v>1</v>
      </c>
      <c r="CY13">
        <v>1</v>
      </c>
      <c r="DK13" s="15">
        <v>186184</v>
      </c>
      <c r="DL13" s="15" t="s">
        <v>516</v>
      </c>
    </row>
    <row r="14" spans="2:116">
      <c r="B14" s="73" t="s">
        <v>86</v>
      </c>
      <c r="C14" s="74"/>
      <c r="D14" s="74"/>
      <c r="F14" s="26">
        <v>1</v>
      </c>
      <c r="G14" s="27">
        <f t="shared" ref="G14:G18" si="18">IF(OR(J14&lt;&gt;0,M14&lt;&gt;0,P14&lt;&gt;0,S14&lt;&gt;0,V14&lt;&gt;0,Y14&lt;&gt;0,AB14&lt;&gt;0,AE14&lt;&gt;0,AH14&lt;&gt;0,AK14&lt;&gt;0,AN14&lt;&gt;0,AQ14&lt;&gt;0,AT14&lt;&gt;0,AW14&lt;&gt;0,AZ14&lt;&gt;0),$C$26-2,0)</f>
        <v>0</v>
      </c>
      <c r="H14" s="21">
        <f>IF(AND($F14&lt;=J$2,H9&gt;0),H9-1,0)</f>
        <v>10</v>
      </c>
      <c r="I14" s="19">
        <f>IF(H14&lt;$C$23,0,H14)</f>
        <v>10</v>
      </c>
      <c r="J14" s="20">
        <v>0</v>
      </c>
      <c r="K14" s="21" t="e">
        <f>IF(AND($F14&lt;=M$2,K9&gt;0),K9-1,0)</f>
        <v>#REF!</v>
      </c>
      <c r="L14" s="19" t="e">
        <f>IF(K14&lt;$C$23,0,K14)</f>
        <v>#REF!</v>
      </c>
      <c r="M14" s="21">
        <v>0</v>
      </c>
      <c r="N14" s="21" t="e">
        <f>IF(AND($F14&lt;=P$2,N9&gt;0),N9-1,0)</f>
        <v>#REF!</v>
      </c>
      <c r="O14" s="19" t="e">
        <f>IF(N14&lt;$C$23,0,N14)</f>
        <v>#REF!</v>
      </c>
      <c r="P14" s="21">
        <v>0</v>
      </c>
      <c r="Q14" s="21" t="e">
        <f>IF(AND($F14&lt;=S$2,Q9&gt;0),Q9-1,0)</f>
        <v>#REF!</v>
      </c>
      <c r="R14" s="19" t="e">
        <f>IF(Q14&lt;$C$23,0,Q14)</f>
        <v>#REF!</v>
      </c>
      <c r="S14" s="21">
        <v>0</v>
      </c>
      <c r="T14" s="21" t="e">
        <f>IF(AND($F14&lt;=V$2,T9&gt;0),T9-1,0)</f>
        <v>#REF!</v>
      </c>
      <c r="U14" s="19" t="e">
        <f>IF(T14&lt;$C$23,0,T14)</f>
        <v>#REF!</v>
      </c>
      <c r="V14" s="21">
        <v>0</v>
      </c>
      <c r="W14" s="21" t="e">
        <f>IF(AND($F14&lt;=Y$2,W9&gt;0),W9-1,0)</f>
        <v>#REF!</v>
      </c>
      <c r="X14" s="19" t="e">
        <f>IF(W14&lt;$C$23,0,W14)</f>
        <v>#REF!</v>
      </c>
      <c r="Y14" s="21">
        <v>0</v>
      </c>
      <c r="Z14" s="21" t="e">
        <f>IF(AND($F14&lt;=AB$2,Z9&gt;0),Z9-1,0)</f>
        <v>#REF!</v>
      </c>
      <c r="AA14" s="19" t="e">
        <f>IF(Z14&lt;$C$23,0,Z14)</f>
        <v>#REF!</v>
      </c>
      <c r="AB14" s="21">
        <v>0</v>
      </c>
      <c r="AC14" s="21" t="e">
        <f>IF(AND($F14&lt;=AE$2,AC9&gt;0),AC9-1,0)</f>
        <v>#REF!</v>
      </c>
      <c r="AD14" s="19" t="e">
        <f>IF(AC14&lt;$C$23,0,AC14)</f>
        <v>#REF!</v>
      </c>
      <c r="AE14" s="21">
        <v>0</v>
      </c>
      <c r="AF14" s="21" t="e">
        <f>IF(AND($F14&lt;=AH$2,AF9&gt;0),AF9-1,0)</f>
        <v>#REF!</v>
      </c>
      <c r="AG14" s="19" t="e">
        <f>IF(AF14&lt;$C$23,0,AF14)</f>
        <v>#REF!</v>
      </c>
      <c r="AH14" s="21">
        <v>0</v>
      </c>
      <c r="AI14" s="21" t="e">
        <f>IF(AND($F14&lt;=AK$2,AI9&gt;0),AI9-1,0)</f>
        <v>#REF!</v>
      </c>
      <c r="AJ14" s="19" t="e">
        <f>IF(AI14&lt;$C$23,0,AI14)</f>
        <v>#REF!</v>
      </c>
      <c r="AK14" s="21">
        <v>0</v>
      </c>
      <c r="AL14" s="21" t="e">
        <f>IF(AND($F14&lt;=AN$2,AL9&gt;0),AL9-1,0)</f>
        <v>#REF!</v>
      </c>
      <c r="AM14" s="19" t="e">
        <f>IF(AL14&lt;$C$23,0,AL14)</f>
        <v>#REF!</v>
      </c>
      <c r="AN14" s="21">
        <v>0</v>
      </c>
      <c r="AO14" s="21" t="e">
        <f>IF(AND($F14&lt;=AQ$2,AO9&gt;0),AO9-1,0)</f>
        <v>#REF!</v>
      </c>
      <c r="AP14" s="19" t="e">
        <f>IF(AO14&lt;$C$23,0,AO14)</f>
        <v>#REF!</v>
      </c>
      <c r="AQ14" s="21">
        <v>0</v>
      </c>
      <c r="AR14" s="21" t="e">
        <f>IF(AND($F14&lt;=AT$2,AR9&gt;0),AR9-1,0)</f>
        <v>#REF!</v>
      </c>
      <c r="AS14" s="19" t="e">
        <f>IF(AR14&lt;$C$23,0,AR14)</f>
        <v>#REF!</v>
      </c>
      <c r="AT14" s="21">
        <v>0</v>
      </c>
      <c r="AU14" s="21" t="e">
        <f>IF(AND($F14&lt;=AW$2,AU9&gt;0),AU9-1,0)</f>
        <v>#REF!</v>
      </c>
      <c r="AV14" s="19" t="e">
        <f>IF(AU14&lt;$C$23,0,AU14)</f>
        <v>#REF!</v>
      </c>
      <c r="AW14" s="21">
        <v>0</v>
      </c>
      <c r="AX14" s="21" t="e">
        <f>IF(AND($F14&lt;=AZ$2,AX9&gt;0),AX9-1,0)</f>
        <v>#REF!</v>
      </c>
      <c r="AY14" s="19" t="e">
        <f>IF(AX14&lt;$C$23,0,AX14)</f>
        <v>#REF!</v>
      </c>
      <c r="AZ14" s="21">
        <v>0</v>
      </c>
      <c r="BA14" s="22" t="e">
        <f t="shared" si="1"/>
        <v>#REF!</v>
      </c>
      <c r="BC14" t="s">
        <v>112</v>
      </c>
      <c r="BD14" s="12">
        <v>625</v>
      </c>
      <c r="BE14" s="12">
        <v>48.7</v>
      </c>
      <c r="BF14" s="12">
        <v>40.46</v>
      </c>
      <c r="BG14" s="12">
        <v>-0.24</v>
      </c>
      <c r="BH14" s="12">
        <v>15.45</v>
      </c>
      <c r="BI14" s="12">
        <v>16.32</v>
      </c>
      <c r="BJ14" s="12"/>
      <c r="BK14" s="12"/>
      <c r="BM14" t="s">
        <v>113</v>
      </c>
      <c r="BN14">
        <v>30</v>
      </c>
      <c r="BO14">
        <f>$BN14*1000*2</f>
        <v>60000</v>
      </c>
      <c r="BP14">
        <v>1100</v>
      </c>
      <c r="BQ14">
        <v>160</v>
      </c>
      <c r="BR14" s="23">
        <v>50</v>
      </c>
      <c r="BS14">
        <v>40</v>
      </c>
      <c r="BT14">
        <v>40</v>
      </c>
      <c r="CF14" s="24"/>
      <c r="CG14">
        <v>40</v>
      </c>
      <c r="CH14">
        <v>32</v>
      </c>
      <c r="CI14">
        <v>32</v>
      </c>
      <c r="CU14" s="24"/>
      <c r="CV14">
        <v>2</v>
      </c>
      <c r="CW14">
        <v>2</v>
      </c>
      <c r="CX14">
        <v>2</v>
      </c>
      <c r="DK14" s="25">
        <v>179274</v>
      </c>
      <c r="DL14" s="25" t="s">
        <v>516</v>
      </c>
    </row>
    <row r="15" spans="2:116">
      <c r="B15" s="32" t="s">
        <v>114</v>
      </c>
      <c r="C15" s="32">
        <f>VLOOKUP($B$14,$BM$3:$DJ$315,2,0)</f>
        <v>10.5</v>
      </c>
      <c r="D15" s="8" t="s">
        <v>115</v>
      </c>
      <c r="F15" s="26">
        <v>2</v>
      </c>
      <c r="G15" s="27">
        <f t="shared" si="18"/>
        <v>0</v>
      </c>
      <c r="H15" s="21">
        <f>IF(AND($F15&lt;=J$2,H14&gt;0),H14*$F15,0)</f>
        <v>20</v>
      </c>
      <c r="I15" s="19">
        <f>IF(H14&lt;$C$23,0,H15)</f>
        <v>20</v>
      </c>
      <c r="J15" s="20">
        <v>0</v>
      </c>
      <c r="K15" s="21" t="e">
        <f>IF(AND($F15&lt;=M$2,K14&gt;0),K14*$F15,0)</f>
        <v>#REF!</v>
      </c>
      <c r="L15" s="19" t="e">
        <f>IF(K14&lt;$C$23,0,K15)</f>
        <v>#REF!</v>
      </c>
      <c r="M15" s="21">
        <v>0</v>
      </c>
      <c r="N15" s="21" t="e">
        <f>IF(AND($F15&lt;=P$2,N14&gt;0),N14*$F15,0)</f>
        <v>#REF!</v>
      </c>
      <c r="O15" s="19" t="e">
        <f>IF(N14&lt;$C$23,0,N15)</f>
        <v>#REF!</v>
      </c>
      <c r="P15" s="21">
        <v>0</v>
      </c>
      <c r="Q15" s="21" t="e">
        <f>IF(AND($F15&lt;=S$2,Q14&gt;0),Q14*$F15,0)</f>
        <v>#REF!</v>
      </c>
      <c r="R15" s="19" t="e">
        <f>IF(Q14&lt;$C$23,0,Q15)</f>
        <v>#REF!</v>
      </c>
      <c r="S15" s="21">
        <v>0</v>
      </c>
      <c r="T15" s="21" t="e">
        <f>IF(AND($F15&lt;=V$2,T14&gt;0),T14*$F15,0)</f>
        <v>#REF!</v>
      </c>
      <c r="U15" s="19" t="e">
        <f>IF(T14&lt;$C$23,0,T15)</f>
        <v>#REF!</v>
      </c>
      <c r="V15" s="21">
        <v>0</v>
      </c>
      <c r="W15" s="21" t="e">
        <f>IF(AND($F15&lt;=Y$2,W14&gt;0),W14*$F15,0)</f>
        <v>#REF!</v>
      </c>
      <c r="X15" s="19" t="e">
        <f>IF(W14&lt;$C$23,0,W15)</f>
        <v>#REF!</v>
      </c>
      <c r="Y15" s="21">
        <v>0</v>
      </c>
      <c r="Z15" s="21" t="e">
        <f>IF(AND($F15&lt;=AB$2,Z14&gt;0),Z14*$F15,0)</f>
        <v>#REF!</v>
      </c>
      <c r="AA15" s="19" t="e">
        <f>IF(Z14&lt;$C$23,0,Z15)</f>
        <v>#REF!</v>
      </c>
      <c r="AB15" s="21">
        <v>0</v>
      </c>
      <c r="AC15" s="21" t="e">
        <f>IF(AND($F15&lt;=AE$2,AC14&gt;0),AC14*$F15,0)</f>
        <v>#REF!</v>
      </c>
      <c r="AD15" s="19" t="e">
        <f>IF(AC14&lt;$C$23,0,AC15)</f>
        <v>#REF!</v>
      </c>
      <c r="AE15" s="21">
        <v>0</v>
      </c>
      <c r="AF15" s="21" t="e">
        <f>IF(AND($F15&lt;=AH$2,AF14&gt;0),AF14*$F15,0)</f>
        <v>#REF!</v>
      </c>
      <c r="AG15" s="19" t="e">
        <f>IF(AF14&lt;$C$23,0,AF15)</f>
        <v>#REF!</v>
      </c>
      <c r="AH15" s="21">
        <v>0</v>
      </c>
      <c r="AI15" s="21" t="e">
        <f>IF(AND($F15&lt;=AK$2,AI14&gt;0),AI14*$F15,0)</f>
        <v>#REF!</v>
      </c>
      <c r="AJ15" s="19" t="e">
        <f>IF(AI14&lt;$C$23,0,AI15)</f>
        <v>#REF!</v>
      </c>
      <c r="AK15" s="21">
        <v>0</v>
      </c>
      <c r="AL15" s="21" t="e">
        <f>IF(AND($F15&lt;=AN$2,AL14&gt;0),AL14*$F15,0)</f>
        <v>#REF!</v>
      </c>
      <c r="AM15" s="19" t="e">
        <f>IF(AL14&lt;$C$23,0,AL15)</f>
        <v>#REF!</v>
      </c>
      <c r="AN15" s="21">
        <v>0</v>
      </c>
      <c r="AO15" s="21" t="e">
        <f>IF(AND($F15&lt;=AQ$2,AO14&gt;0),AO14*$F15,0)</f>
        <v>#REF!</v>
      </c>
      <c r="AP15" s="19" t="e">
        <f>IF(AO14&lt;$C$23,0,AO15)</f>
        <v>#REF!</v>
      </c>
      <c r="AQ15" s="21">
        <v>0</v>
      </c>
      <c r="AR15" s="21" t="e">
        <f>IF(AND($F15&lt;=AT$2,AR14&gt;0),AR14*$F15,0)</f>
        <v>#REF!</v>
      </c>
      <c r="AS15" s="19" t="e">
        <f>IF(AR14&lt;$C$23,0,AR15)</f>
        <v>#REF!</v>
      </c>
      <c r="AT15" s="21">
        <v>0</v>
      </c>
      <c r="AU15" s="21" t="e">
        <f>IF(AND($F15&lt;=AW$2,AU14&gt;0),AU14*$F15,0)</f>
        <v>#REF!</v>
      </c>
      <c r="AV15" s="19" t="e">
        <f>IF(AU14&lt;$C$23,0,AU15)</f>
        <v>#REF!</v>
      </c>
      <c r="AW15" s="21">
        <v>0</v>
      </c>
      <c r="AX15" s="21" t="e">
        <f>IF(AND($F15&lt;=AZ$2,AX14&gt;0),AX14*$F15,0)</f>
        <v>#REF!</v>
      </c>
      <c r="AY15" s="19" t="e">
        <f>IF(AX14&lt;$C$23,0,AX15)</f>
        <v>#REF!</v>
      </c>
      <c r="AZ15" s="21">
        <v>0</v>
      </c>
      <c r="BA15" s="22" t="e">
        <f t="shared" si="1"/>
        <v>#REF!</v>
      </c>
      <c r="BC15" t="s">
        <v>116</v>
      </c>
      <c r="BD15">
        <v>550</v>
      </c>
      <c r="BE15">
        <v>49.8</v>
      </c>
      <c r="BF15">
        <v>42.16</v>
      </c>
      <c r="BG15">
        <v>-0.28999999999999998</v>
      </c>
      <c r="BH15" s="12">
        <v>13.05</v>
      </c>
      <c r="BI15" s="12">
        <v>13.94</v>
      </c>
      <c r="BJ15" s="12"/>
      <c r="BK15" s="12"/>
      <c r="BM15" t="s">
        <v>117</v>
      </c>
      <c r="BN15">
        <v>30</v>
      </c>
      <c r="BO15">
        <f>$BN15*1000*1.5</f>
        <v>45000</v>
      </c>
      <c r="BP15">
        <v>1100</v>
      </c>
      <c r="BQ15">
        <v>160</v>
      </c>
      <c r="BR15" s="23">
        <v>50</v>
      </c>
      <c r="BS15">
        <v>40</v>
      </c>
      <c r="BT15">
        <v>40</v>
      </c>
      <c r="CF15" s="24"/>
      <c r="CG15">
        <v>40</v>
      </c>
      <c r="CH15">
        <v>32</v>
      </c>
      <c r="CI15">
        <v>32</v>
      </c>
      <c r="CU15" s="24"/>
      <c r="CV15">
        <v>2</v>
      </c>
      <c r="CW15">
        <v>2</v>
      </c>
      <c r="CX15">
        <v>2</v>
      </c>
      <c r="DK15" s="15"/>
      <c r="DL15" s="15"/>
    </row>
    <row r="16" spans="2:116">
      <c r="B16" s="32" t="s">
        <v>118</v>
      </c>
      <c r="C16" s="32">
        <f>VLOOKUP($B$14,$BM$3:$DJ$315,3,0)</f>
        <v>21000</v>
      </c>
      <c r="D16" s="8" t="s">
        <v>65</v>
      </c>
      <c r="F16" s="26">
        <v>3</v>
      </c>
      <c r="G16" s="27">
        <f t="shared" si="18"/>
        <v>0</v>
      </c>
      <c r="H16" s="21">
        <f>IF(AND($F16&lt;=J$2,H14&gt;0),H14*$F16,0)</f>
        <v>30</v>
      </c>
      <c r="I16" s="19">
        <f>IF(H14&lt;$C$23,0,H16)</f>
        <v>30</v>
      </c>
      <c r="J16" s="20">
        <v>0</v>
      </c>
      <c r="K16" s="21" t="e">
        <f>IF(AND($F16&lt;=M$2,K14&gt;0),K14*$F16,0)</f>
        <v>#REF!</v>
      </c>
      <c r="L16" s="19" t="e">
        <f>IF(K14&lt;$C$23,0,K16)</f>
        <v>#REF!</v>
      </c>
      <c r="M16" s="21">
        <v>0</v>
      </c>
      <c r="N16" s="21" t="e">
        <f>IF(AND($F16&lt;=P$2,N14&gt;0),N14*$F16,0)</f>
        <v>#REF!</v>
      </c>
      <c r="O16" s="19" t="e">
        <f>IF(N14&lt;$C$23,0,N16)</f>
        <v>#REF!</v>
      </c>
      <c r="P16" s="21">
        <v>0</v>
      </c>
      <c r="Q16" s="21" t="e">
        <f>IF(AND($F16&lt;=S$2,Q14&gt;0),Q14*$F16,0)</f>
        <v>#REF!</v>
      </c>
      <c r="R16" s="19" t="e">
        <f>IF(Q14&lt;$C$23,0,Q16)</f>
        <v>#REF!</v>
      </c>
      <c r="S16" s="21">
        <v>0</v>
      </c>
      <c r="T16" s="21" t="e">
        <f>IF(AND($F16&lt;=V$2,T14&gt;0),T14*$F16,0)</f>
        <v>#REF!</v>
      </c>
      <c r="U16" s="19" t="e">
        <f>IF(T14&lt;$C$23,0,T16)</f>
        <v>#REF!</v>
      </c>
      <c r="V16" s="21">
        <v>0</v>
      </c>
      <c r="W16" s="21" t="e">
        <f>IF(AND($F16&lt;=Y$2,W14&gt;0),W14*$F16,0)</f>
        <v>#REF!</v>
      </c>
      <c r="X16" s="19" t="e">
        <f>IF(W14&lt;$C$23,0,W16)</f>
        <v>#REF!</v>
      </c>
      <c r="Y16" s="21">
        <v>0</v>
      </c>
      <c r="Z16" s="21" t="e">
        <f>IF(AND($F16&lt;=AB$2,Z14&gt;0),Z14*$F16,0)</f>
        <v>#REF!</v>
      </c>
      <c r="AA16" s="19" t="e">
        <f>IF(Z14&lt;$C$23,0,Z16)</f>
        <v>#REF!</v>
      </c>
      <c r="AB16" s="21">
        <v>0</v>
      </c>
      <c r="AC16" s="21" t="e">
        <f>IF(AND($F16&lt;=AE$2,AC14&gt;0),AC14*$F16,0)</f>
        <v>#REF!</v>
      </c>
      <c r="AD16" s="19" t="e">
        <f>IF(AC14&lt;$C$23,0,AC16)</f>
        <v>#REF!</v>
      </c>
      <c r="AE16" s="21">
        <v>0</v>
      </c>
      <c r="AF16" s="21" t="e">
        <f>IF(AND($F16&lt;=AH$2,AF14&gt;0),AF14*$F16,0)</f>
        <v>#REF!</v>
      </c>
      <c r="AG16" s="19" t="e">
        <f>IF(AF14&lt;$C$23,0,AF16)</f>
        <v>#REF!</v>
      </c>
      <c r="AH16" s="21">
        <v>0</v>
      </c>
      <c r="AI16" s="21" t="e">
        <f>IF(AND($F16&lt;=AK$2,AI14&gt;0),AI14*$F16,0)</f>
        <v>#REF!</v>
      </c>
      <c r="AJ16" s="19" t="e">
        <f>IF(AI14&lt;$C$23,0,AI16)</f>
        <v>#REF!</v>
      </c>
      <c r="AK16" s="21">
        <v>0</v>
      </c>
      <c r="AL16" s="21" t="e">
        <f>IF(AND($F16&lt;=AN$2,AL14&gt;0),AL14*$F16,0)</f>
        <v>#REF!</v>
      </c>
      <c r="AM16" s="19" t="e">
        <f>IF(AL14&lt;$C$23,0,AL16)</f>
        <v>#REF!</v>
      </c>
      <c r="AN16" s="21">
        <v>0</v>
      </c>
      <c r="AO16" s="21" t="e">
        <f>IF(AND($F16&lt;=AQ$2,AO14&gt;0),AO14*$F16,0)</f>
        <v>#REF!</v>
      </c>
      <c r="AP16" s="19" t="e">
        <f>IF(AO14&lt;$C$23,0,AO16)</f>
        <v>#REF!</v>
      </c>
      <c r="AQ16" s="21">
        <v>0</v>
      </c>
      <c r="AR16" s="21" t="e">
        <f>IF(AND($F16&lt;=AT$2,AR14&gt;0),AR14*$F16,0)</f>
        <v>#REF!</v>
      </c>
      <c r="AS16" s="19" t="e">
        <f>IF(AR14&lt;$C$23,0,AR16)</f>
        <v>#REF!</v>
      </c>
      <c r="AT16" s="21">
        <v>0</v>
      </c>
      <c r="AU16" s="21" t="e">
        <f>IF(AND($F16&lt;=AW$2,AU14&gt;0),AU14*$F16,0)</f>
        <v>#REF!</v>
      </c>
      <c r="AV16" s="19" t="e">
        <f>IF(AU14&lt;$C$23,0,AU16)</f>
        <v>#REF!</v>
      </c>
      <c r="AW16" s="21">
        <v>0</v>
      </c>
      <c r="AX16" s="21" t="e">
        <f>IF(AND($F16&lt;=AZ$2,AX14&gt;0),AX14*$F16,0)</f>
        <v>#REF!</v>
      </c>
      <c r="AY16" s="19" t="e">
        <f>IF(AX14&lt;$C$23,0,AX16)</f>
        <v>#REF!</v>
      </c>
      <c r="AZ16" s="21">
        <v>0</v>
      </c>
      <c r="BA16" s="22" t="e">
        <f t="shared" si="1"/>
        <v>#REF!</v>
      </c>
      <c r="BC16" t="s">
        <v>119</v>
      </c>
      <c r="BD16">
        <v>370</v>
      </c>
      <c r="BE16">
        <v>47.4</v>
      </c>
      <c r="BF16">
        <v>40</v>
      </c>
      <c r="BG16">
        <v>-0.28999999999999998</v>
      </c>
      <c r="BH16" s="12">
        <v>9.26</v>
      </c>
      <c r="BI16" s="12">
        <v>9.83</v>
      </c>
      <c r="BJ16" s="12"/>
      <c r="BK16" s="12"/>
      <c r="BM16" t="s">
        <v>120</v>
      </c>
      <c r="BN16">
        <v>3</v>
      </c>
      <c r="BO16">
        <v>6000</v>
      </c>
      <c r="BP16">
        <v>550</v>
      </c>
      <c r="BQ16">
        <v>40</v>
      </c>
      <c r="BR16" s="23">
        <v>22</v>
      </c>
      <c r="CF16" s="24"/>
      <c r="CG16" s="33">
        <v>18</v>
      </c>
      <c r="CH16" s="33"/>
      <c r="CI16" s="33"/>
      <c r="CJ16" s="33"/>
      <c r="CK16" s="33"/>
      <c r="CL16" s="33"/>
      <c r="CM16" s="33"/>
      <c r="CN16" s="33"/>
      <c r="CO16" s="33"/>
      <c r="CP16" s="33"/>
      <c r="CQ16" s="33"/>
      <c r="CR16" s="33"/>
      <c r="CS16" s="33"/>
      <c r="CT16" s="33"/>
      <c r="CU16" s="34"/>
      <c r="CV16">
        <v>1</v>
      </c>
      <c r="DK16" s="25">
        <v>168764</v>
      </c>
      <c r="DL16" s="25" t="s">
        <v>516</v>
      </c>
    </row>
    <row r="17" spans="2:116">
      <c r="B17" s="32" t="s">
        <v>121</v>
      </c>
      <c r="C17" s="32">
        <f>VLOOKUP($B$14,$BM$3:$DJ$315,4,0)</f>
        <v>550</v>
      </c>
      <c r="D17" s="8" t="s">
        <v>84</v>
      </c>
      <c r="F17" s="26">
        <v>4</v>
      </c>
      <c r="G17" s="27">
        <f t="shared" si="18"/>
        <v>0</v>
      </c>
      <c r="H17" s="21">
        <f>IF(AND($F17&lt;=J$2,H14&gt;0),H14*$F17,0)</f>
        <v>40</v>
      </c>
      <c r="I17" s="19">
        <f>IF(H14&lt;$C$23,0,H17)</f>
        <v>40</v>
      </c>
      <c r="J17" s="20">
        <v>0</v>
      </c>
      <c r="K17" s="21" t="e">
        <f>IF(AND($F17&lt;=M$2,K14&gt;0),K14*$F17,0)</f>
        <v>#REF!</v>
      </c>
      <c r="L17" s="19" t="e">
        <f>IF(K14&lt;$C$23,0,K17)</f>
        <v>#REF!</v>
      </c>
      <c r="M17" s="21">
        <v>0</v>
      </c>
      <c r="N17" s="21" t="e">
        <f>IF(AND($F17&lt;=P$2,N14&gt;0),N14*$F17,0)</f>
        <v>#REF!</v>
      </c>
      <c r="O17" s="19" t="e">
        <f>IF(N14&lt;$C$23,0,N17)</f>
        <v>#REF!</v>
      </c>
      <c r="P17" s="21">
        <v>0</v>
      </c>
      <c r="Q17" s="21" t="e">
        <f>IF(AND($F17&lt;=S$2,Q14&gt;0),Q14*$F17,0)</f>
        <v>#REF!</v>
      </c>
      <c r="R17" s="19" t="e">
        <f>IF(Q14&lt;$C$23,0,Q17)</f>
        <v>#REF!</v>
      </c>
      <c r="S17" s="21">
        <v>0</v>
      </c>
      <c r="T17" s="21" t="e">
        <f>IF(AND($F17&lt;=V$2,T14&gt;0),T14*$F17,0)</f>
        <v>#REF!</v>
      </c>
      <c r="U17" s="19" t="e">
        <f>IF(T14&lt;$C$23,0,T17)</f>
        <v>#REF!</v>
      </c>
      <c r="V17" s="21">
        <v>0</v>
      </c>
      <c r="W17" s="21" t="e">
        <f>IF(AND($F17&lt;=Y$2,W14&gt;0),W14*$F17,0)</f>
        <v>#REF!</v>
      </c>
      <c r="X17" s="19" t="e">
        <f>IF(W14&lt;$C$23,0,W17)</f>
        <v>#REF!</v>
      </c>
      <c r="Y17" s="21">
        <v>0</v>
      </c>
      <c r="Z17" s="21" t="e">
        <f>IF(AND($F17&lt;=AB$2,Z14&gt;0),Z14*$F17,0)</f>
        <v>#REF!</v>
      </c>
      <c r="AA17" s="19" t="e">
        <f>IF(Z14&lt;$C$23,0,Z17)</f>
        <v>#REF!</v>
      </c>
      <c r="AB17" s="21">
        <v>0</v>
      </c>
      <c r="AC17" s="21" t="e">
        <f>IF(AND($F17&lt;=AE$2,AC14&gt;0),AC14*$F17,0)</f>
        <v>#REF!</v>
      </c>
      <c r="AD17" s="19" t="e">
        <f>IF(AC14&lt;$C$23,0,AC17)</f>
        <v>#REF!</v>
      </c>
      <c r="AE17" s="21">
        <v>0</v>
      </c>
      <c r="AF17" s="21" t="e">
        <f>IF(AND($F17&lt;=AH$2,AF14&gt;0),AF14*$F17,0)</f>
        <v>#REF!</v>
      </c>
      <c r="AG17" s="19" t="e">
        <f>IF(AF14&lt;$C$23,0,AF17)</f>
        <v>#REF!</v>
      </c>
      <c r="AH17" s="21">
        <v>0</v>
      </c>
      <c r="AI17" s="21" t="e">
        <f>IF(AND($F17&lt;=AK$2,AI14&gt;0),AI14*$F17,0)</f>
        <v>#REF!</v>
      </c>
      <c r="AJ17" s="19" t="e">
        <f>IF(AI14&lt;$C$23,0,AI17)</f>
        <v>#REF!</v>
      </c>
      <c r="AK17" s="21">
        <v>0</v>
      </c>
      <c r="AL17" s="21" t="e">
        <f>IF(AND($F17&lt;=AN$2,AL14&gt;0),AL14*$F17,0)</f>
        <v>#REF!</v>
      </c>
      <c r="AM17" s="19" t="e">
        <f>IF(AL14&lt;$C$23,0,AL17)</f>
        <v>#REF!</v>
      </c>
      <c r="AN17" s="21">
        <v>0</v>
      </c>
      <c r="AO17" s="21" t="e">
        <f>IF(AND($F17&lt;=AQ$2,AO14&gt;0),AO14*$F17,0)</f>
        <v>#REF!</v>
      </c>
      <c r="AP17" s="19" t="e">
        <f>IF(AO14&lt;$C$23,0,AO17)</f>
        <v>#REF!</v>
      </c>
      <c r="AQ17" s="21">
        <v>0</v>
      </c>
      <c r="AR17" s="21" t="e">
        <f>IF(AND($F17&lt;=AT$2,AR14&gt;0),AR14*$F17,0)</f>
        <v>#REF!</v>
      </c>
      <c r="AS17" s="19" t="e">
        <f>IF(AR14&lt;$C$23,0,AR17)</f>
        <v>#REF!</v>
      </c>
      <c r="AT17" s="21">
        <v>0</v>
      </c>
      <c r="AU17" s="21" t="e">
        <f>IF(AND($F17&lt;=AW$2,AU14&gt;0),AU14*$F17,0)</f>
        <v>#REF!</v>
      </c>
      <c r="AV17" s="19" t="e">
        <f>IF(AU14&lt;$C$23,0,AU17)</f>
        <v>#REF!</v>
      </c>
      <c r="AW17" s="21">
        <v>0</v>
      </c>
      <c r="AX17" s="21" t="e">
        <f>IF(AND($F17&lt;=AZ$2,AX14&gt;0),AX14*$F17,0)</f>
        <v>#REF!</v>
      </c>
      <c r="AY17" s="19" t="e">
        <f>IF(AX14&lt;$C$23,0,AX17)</f>
        <v>#REF!</v>
      </c>
      <c r="AZ17" s="21">
        <v>0</v>
      </c>
      <c r="BA17" s="22" t="e">
        <f t="shared" si="1"/>
        <v>#REF!</v>
      </c>
      <c r="BC17" t="s">
        <v>122</v>
      </c>
      <c r="BD17">
        <v>400</v>
      </c>
      <c r="BE17">
        <v>47.2</v>
      </c>
      <c r="BF17">
        <v>38.700000000000003</v>
      </c>
      <c r="BG17">
        <v>-0.28000000000000003</v>
      </c>
      <c r="BH17" s="12">
        <v>10.34</v>
      </c>
      <c r="BI17" s="12">
        <v>10.9</v>
      </c>
      <c r="BJ17" s="12"/>
      <c r="BK17" s="12"/>
      <c r="BM17" t="s">
        <v>123</v>
      </c>
      <c r="BN17">
        <v>40</v>
      </c>
      <c r="BO17">
        <v>80000</v>
      </c>
      <c r="BP17">
        <v>1100</v>
      </c>
      <c r="BQ17">
        <v>180</v>
      </c>
      <c r="BR17" s="13">
        <v>50</v>
      </c>
      <c r="BS17">
        <v>50</v>
      </c>
      <c r="BT17">
        <v>25</v>
      </c>
      <c r="BU17">
        <v>25</v>
      </c>
      <c r="CF17" s="14"/>
      <c r="CG17">
        <v>40</v>
      </c>
      <c r="CH17">
        <v>40</v>
      </c>
      <c r="CI17">
        <v>20</v>
      </c>
      <c r="CJ17">
        <v>20</v>
      </c>
      <c r="CU17" s="14"/>
      <c r="CV17">
        <v>2</v>
      </c>
      <c r="CW17">
        <v>2</v>
      </c>
      <c r="CX17">
        <v>1</v>
      </c>
      <c r="CY17">
        <v>1</v>
      </c>
      <c r="DK17" s="15">
        <v>186177</v>
      </c>
      <c r="DL17" s="15" t="s">
        <v>516</v>
      </c>
    </row>
    <row r="18" spans="2:116">
      <c r="B18" s="32" t="s">
        <v>124</v>
      </c>
      <c r="C18" s="32">
        <f>VLOOKUP($B$14,$BM$3:$DJ$315,5,0)</f>
        <v>40</v>
      </c>
      <c r="D18" s="8" t="s">
        <v>84</v>
      </c>
      <c r="F18" s="26">
        <v>5</v>
      </c>
      <c r="G18" s="27">
        <f t="shared" si="18"/>
        <v>0</v>
      </c>
      <c r="H18" s="21">
        <f>IF(AND($F18&lt;=J$2,H14&gt;0),H14*$F18,0)</f>
        <v>50</v>
      </c>
      <c r="I18" s="19">
        <f>IF(H14&lt;$C$23,0,H18)</f>
        <v>50</v>
      </c>
      <c r="J18" s="20">
        <v>0</v>
      </c>
      <c r="K18" s="21" t="e">
        <f>IF(AND($F18&lt;=M$2,K14&gt;0),K14*$F18,0)</f>
        <v>#REF!</v>
      </c>
      <c r="L18" s="19" t="e">
        <f>IF(K14&lt;$C$23,0,K18)</f>
        <v>#REF!</v>
      </c>
      <c r="M18" s="21">
        <v>0</v>
      </c>
      <c r="N18" s="21" t="e">
        <f>IF(AND($F18&lt;=P$2,N14&gt;0),N14*$F18,0)</f>
        <v>#REF!</v>
      </c>
      <c r="O18" s="19" t="e">
        <f>IF(N14&lt;$C$23,0,N18)</f>
        <v>#REF!</v>
      </c>
      <c r="P18" s="21">
        <v>0</v>
      </c>
      <c r="Q18" s="21" t="e">
        <f>IF(AND($F18&lt;=S$2,Q14&gt;0),Q14*$F18,0)</f>
        <v>#REF!</v>
      </c>
      <c r="R18" s="19" t="e">
        <f>IF(Q14&lt;$C$23,0,Q18)</f>
        <v>#REF!</v>
      </c>
      <c r="S18" s="21">
        <v>0</v>
      </c>
      <c r="T18" s="21" t="e">
        <f>IF(AND($F18&lt;=V$2,T14&gt;0),T14*$F18,0)</f>
        <v>#REF!</v>
      </c>
      <c r="U18" s="19" t="e">
        <f>IF(T14&lt;$C$23,0,T18)</f>
        <v>#REF!</v>
      </c>
      <c r="V18" s="21">
        <v>0</v>
      </c>
      <c r="W18" s="21" t="e">
        <f>IF(AND($F18&lt;=Y$2,W14&gt;0),W14*$F18,0)</f>
        <v>#REF!</v>
      </c>
      <c r="X18" s="19" t="e">
        <f>IF(W14&lt;$C$23,0,W18)</f>
        <v>#REF!</v>
      </c>
      <c r="Y18" s="21">
        <v>0</v>
      </c>
      <c r="Z18" s="21" t="e">
        <f>IF(AND($F18&lt;=AB$2,Z14&gt;0),Z14*$F18,0)</f>
        <v>#REF!</v>
      </c>
      <c r="AA18" s="19" t="e">
        <f>IF(Z14&lt;$C$23,0,Z18)</f>
        <v>#REF!</v>
      </c>
      <c r="AB18" s="21">
        <v>0</v>
      </c>
      <c r="AC18" s="21" t="e">
        <f>IF(AND($F18&lt;=AE$2,AC14&gt;0),AC14*$F18,0)</f>
        <v>#REF!</v>
      </c>
      <c r="AD18" s="19" t="e">
        <f>IF(AC14&lt;$C$23,0,AC18)</f>
        <v>#REF!</v>
      </c>
      <c r="AE18" s="21">
        <v>0</v>
      </c>
      <c r="AF18" s="21" t="e">
        <f>IF(AND($F18&lt;=AH$2,AF14&gt;0),AF14*$F18,0)</f>
        <v>#REF!</v>
      </c>
      <c r="AG18" s="19" t="e">
        <f>IF(AF14&lt;$C$23,0,AF18)</f>
        <v>#REF!</v>
      </c>
      <c r="AH18" s="21">
        <v>0</v>
      </c>
      <c r="AI18" s="21" t="e">
        <f>IF(AND($F18&lt;=AK$2,AI14&gt;0),AI14*$F18,0)</f>
        <v>#REF!</v>
      </c>
      <c r="AJ18" s="19" t="e">
        <f>IF(AI14&lt;$C$23,0,AI18)</f>
        <v>#REF!</v>
      </c>
      <c r="AK18" s="21">
        <v>0</v>
      </c>
      <c r="AL18" s="21" t="e">
        <f>IF(AND($F18&lt;=AN$2,AL14&gt;0),AL14*$F18,0)</f>
        <v>#REF!</v>
      </c>
      <c r="AM18" s="19" t="e">
        <f>IF(AL14&lt;$C$23,0,AL18)</f>
        <v>#REF!</v>
      </c>
      <c r="AN18" s="21">
        <v>0</v>
      </c>
      <c r="AO18" s="21" t="e">
        <f>IF(AND($F18&lt;=AQ$2,AO14&gt;0),AO14*$F18,0)</f>
        <v>#REF!</v>
      </c>
      <c r="AP18" s="19" t="e">
        <f>IF(AO14&lt;$C$23,0,AO18)</f>
        <v>#REF!</v>
      </c>
      <c r="AQ18" s="21">
        <v>0</v>
      </c>
      <c r="AR18" s="21" t="e">
        <f>IF(AND($F18&lt;=AT$2,AR14&gt;0),AR14*$F18,0)</f>
        <v>#REF!</v>
      </c>
      <c r="AS18" s="19" t="e">
        <f>IF(AR14&lt;$C$23,0,AR18)</f>
        <v>#REF!</v>
      </c>
      <c r="AT18" s="21">
        <v>0</v>
      </c>
      <c r="AU18" s="21" t="e">
        <f>IF(AND($F18&lt;=AW$2,AU14&gt;0),AU14*$F18,0)</f>
        <v>#REF!</v>
      </c>
      <c r="AV18" s="19" t="e">
        <f>IF(AU14&lt;$C$23,0,AU18)</f>
        <v>#REF!</v>
      </c>
      <c r="AW18" s="21">
        <v>0</v>
      </c>
      <c r="AX18" s="21" t="e">
        <f>IF(AND($F18&lt;=AZ$2,AX14&gt;0),AX14*$F18,0)</f>
        <v>#REF!</v>
      </c>
      <c r="AY18" s="19" t="e">
        <f>IF(AX14&lt;$C$23,0,AX18)</f>
        <v>#REF!</v>
      </c>
      <c r="AZ18" s="21">
        <v>0</v>
      </c>
      <c r="BA18" s="22" t="e">
        <f t="shared" si="1"/>
        <v>#REF!</v>
      </c>
      <c r="BC18" t="s">
        <v>125</v>
      </c>
      <c r="BD18">
        <v>405</v>
      </c>
      <c r="BE18">
        <v>47.4</v>
      </c>
      <c r="BF18">
        <v>38.9</v>
      </c>
      <c r="BG18">
        <v>-0.28000000000000003</v>
      </c>
      <c r="BH18" s="12">
        <v>10.42</v>
      </c>
      <c r="BI18" s="12">
        <v>10.98</v>
      </c>
      <c r="BJ18" s="12"/>
      <c r="BK18" s="12"/>
      <c r="BM18" t="s">
        <v>126</v>
      </c>
      <c r="BN18">
        <v>4</v>
      </c>
      <c r="BO18">
        <v>8000</v>
      </c>
      <c r="BP18">
        <v>550</v>
      </c>
      <c r="BQ18">
        <v>40</v>
      </c>
      <c r="BR18" s="23">
        <v>22</v>
      </c>
      <c r="BS18">
        <v>22</v>
      </c>
      <c r="CF18" s="24"/>
      <c r="CG18">
        <v>18</v>
      </c>
      <c r="CH18">
        <v>18</v>
      </c>
      <c r="CU18" s="24"/>
      <c r="CV18">
        <v>1</v>
      </c>
      <c r="CW18">
        <v>1</v>
      </c>
      <c r="DK18" s="25">
        <v>168765</v>
      </c>
      <c r="DL18" s="25" t="s">
        <v>516</v>
      </c>
    </row>
    <row r="19" spans="2:116">
      <c r="F19" s="26">
        <v>1</v>
      </c>
      <c r="G19" s="27">
        <f t="shared" ref="G19:G23" si="19">IF(OR(J19&lt;&gt;0,M19&lt;&gt;0,P19&lt;&gt;0,S19&lt;&gt;0,V19&lt;&gt;0,Y19&lt;&gt;0,AB19&lt;&gt;0,AE19&lt;&gt;0,AH19&lt;&gt;0,AK19&lt;&gt;0,AN19&lt;&gt;0,AQ19&lt;&gt;0,AT19&lt;&gt;0,AW19&lt;&gt;0,AZ19&lt;&gt;0),$C$26-3,0)</f>
        <v>0</v>
      </c>
      <c r="H19" s="21">
        <f>IF(AND($F19&lt;=J$2,H14&gt;0),H14-1,0)</f>
        <v>9</v>
      </c>
      <c r="I19" s="19">
        <f>IF(H19&lt;$C$23,0,H19)</f>
        <v>9</v>
      </c>
      <c r="J19" s="20">
        <v>0</v>
      </c>
      <c r="K19" s="21" t="e">
        <f>IF(AND($F19&lt;=M$2,K14&gt;0),K14-1,0)</f>
        <v>#REF!</v>
      </c>
      <c r="L19" s="19" t="e">
        <f>IF(K19&lt;$C$23,0,K19)</f>
        <v>#REF!</v>
      </c>
      <c r="M19" s="21">
        <v>0</v>
      </c>
      <c r="N19" s="21" t="e">
        <f>IF(AND($F19&lt;=P$2,N14&gt;0),N14-1,0)</f>
        <v>#REF!</v>
      </c>
      <c r="O19" s="19" t="e">
        <f>IF(N19&lt;$C$23,0,N19)</f>
        <v>#REF!</v>
      </c>
      <c r="P19" s="21">
        <v>0</v>
      </c>
      <c r="Q19" s="21" t="e">
        <f>IF(AND($F19&lt;=S$2,Q14&gt;0),Q14-1,0)</f>
        <v>#REF!</v>
      </c>
      <c r="R19" s="19" t="e">
        <f>IF(Q19&lt;$C$23,0,Q19)</f>
        <v>#REF!</v>
      </c>
      <c r="S19" s="21">
        <v>0</v>
      </c>
      <c r="T19" s="21" t="e">
        <f>IF(AND($F19&lt;=V$2,T14&gt;0),T14-1,0)</f>
        <v>#REF!</v>
      </c>
      <c r="U19" s="19" t="e">
        <f>IF(T19&lt;$C$23,0,T19)</f>
        <v>#REF!</v>
      </c>
      <c r="V19" s="21">
        <v>0</v>
      </c>
      <c r="W19" s="21" t="e">
        <f>IF(AND($F19&lt;=Y$2,W14&gt;0),W14-1,0)</f>
        <v>#REF!</v>
      </c>
      <c r="X19" s="19" t="e">
        <f>IF(W19&lt;$C$23,0,W19)</f>
        <v>#REF!</v>
      </c>
      <c r="Y19" s="21">
        <v>0</v>
      </c>
      <c r="Z19" s="21" t="e">
        <f>IF(AND($F19&lt;=AB$2,Z14&gt;0),Z14-1,0)</f>
        <v>#REF!</v>
      </c>
      <c r="AA19" s="19" t="e">
        <f>IF(Z19&lt;$C$23,0,Z19)</f>
        <v>#REF!</v>
      </c>
      <c r="AB19" s="21">
        <v>0</v>
      </c>
      <c r="AC19" s="21" t="e">
        <f>IF(AND($F19&lt;=AE$2,AC14&gt;0),AC14-1,0)</f>
        <v>#REF!</v>
      </c>
      <c r="AD19" s="19" t="e">
        <f>IF(AC19&lt;$C$23,0,AC19)</f>
        <v>#REF!</v>
      </c>
      <c r="AE19" s="21">
        <v>0</v>
      </c>
      <c r="AF19" s="21" t="e">
        <f>IF(AND($F19&lt;=AH$2,AF14&gt;0),AF14-1,0)</f>
        <v>#REF!</v>
      </c>
      <c r="AG19" s="19" t="e">
        <f>IF(AF19&lt;$C$23,0,AF19)</f>
        <v>#REF!</v>
      </c>
      <c r="AH19" s="21">
        <v>0</v>
      </c>
      <c r="AI19" s="21" t="e">
        <f>IF(AND($F19&lt;=AK$2,AI14&gt;0),AI14-1,0)</f>
        <v>#REF!</v>
      </c>
      <c r="AJ19" s="19" t="e">
        <f>IF(AI19&lt;$C$23,0,AI19)</f>
        <v>#REF!</v>
      </c>
      <c r="AK19" s="21">
        <v>0</v>
      </c>
      <c r="AL19" s="21" t="e">
        <f>IF(AND($F19&lt;=AN$2,AL14&gt;0),AL14-1,0)</f>
        <v>#REF!</v>
      </c>
      <c r="AM19" s="19" t="e">
        <f>IF(AL19&lt;$C$23,0,AL19)</f>
        <v>#REF!</v>
      </c>
      <c r="AN19" s="21">
        <v>0</v>
      </c>
      <c r="AO19" s="21" t="e">
        <f>IF(AND($F19&lt;=AQ$2,AO14&gt;0),AO14-1,0)</f>
        <v>#REF!</v>
      </c>
      <c r="AP19" s="19" t="e">
        <f>IF(AO19&lt;$C$23,0,AO19)</f>
        <v>#REF!</v>
      </c>
      <c r="AQ19" s="21">
        <v>0</v>
      </c>
      <c r="AR19" s="21" t="e">
        <f>IF(AND($F19&lt;=AT$2,AR14&gt;0),AR14-1,0)</f>
        <v>#REF!</v>
      </c>
      <c r="AS19" s="19" t="e">
        <f>IF(AR19&lt;$C$23,0,AR19)</f>
        <v>#REF!</v>
      </c>
      <c r="AT19" s="21">
        <v>0</v>
      </c>
      <c r="AU19" s="21" t="e">
        <f>IF(AND($F19&lt;=AW$2,AU14&gt;0),AU14-1,0)</f>
        <v>#REF!</v>
      </c>
      <c r="AV19" s="19" t="e">
        <f>IF(AU19&lt;$C$23,0,AU19)</f>
        <v>#REF!</v>
      </c>
      <c r="AW19" s="21">
        <v>0</v>
      </c>
      <c r="AX19" s="21" t="e">
        <f>IF(AND($F19&lt;=AZ$2,AX14&gt;0),AX14-1,0)</f>
        <v>#REF!</v>
      </c>
      <c r="AY19" s="19" t="e">
        <f>IF(AX19&lt;$C$23,0,AX19)</f>
        <v>#REF!</v>
      </c>
      <c r="AZ19" s="21">
        <v>0</v>
      </c>
      <c r="BA19" s="22" t="e">
        <f t="shared" si="1"/>
        <v>#REF!</v>
      </c>
      <c r="BC19" t="s">
        <v>127</v>
      </c>
      <c r="BD19">
        <v>420</v>
      </c>
      <c r="BE19">
        <v>48</v>
      </c>
      <c r="BF19">
        <v>39.5</v>
      </c>
      <c r="BG19">
        <v>-0.28000000000000003</v>
      </c>
      <c r="BH19" s="12">
        <v>10.64</v>
      </c>
      <c r="BI19" s="12">
        <v>11.26</v>
      </c>
      <c r="BJ19" s="12"/>
      <c r="BK19" s="12"/>
      <c r="BM19" t="s">
        <v>128</v>
      </c>
      <c r="BN19">
        <v>5</v>
      </c>
      <c r="BO19">
        <v>10000</v>
      </c>
      <c r="BP19">
        <v>550</v>
      </c>
      <c r="BQ19">
        <v>40</v>
      </c>
      <c r="BR19" s="23">
        <v>22</v>
      </c>
      <c r="BS19">
        <v>22</v>
      </c>
      <c r="CF19" s="24"/>
      <c r="CG19" s="33">
        <v>18</v>
      </c>
      <c r="CH19" s="33">
        <v>18</v>
      </c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4"/>
      <c r="CV19">
        <v>1</v>
      </c>
      <c r="CW19">
        <v>1</v>
      </c>
      <c r="DK19" s="15"/>
      <c r="DL19" s="15"/>
    </row>
    <row r="20" spans="2:116">
      <c r="B20" s="35" t="s">
        <v>129</v>
      </c>
      <c r="C20" s="36" t="e">
        <f>$BA$65</f>
        <v>#REF!</v>
      </c>
      <c r="F20" s="26">
        <v>2</v>
      </c>
      <c r="G20" s="27">
        <f t="shared" si="19"/>
        <v>0</v>
      </c>
      <c r="H20" s="21">
        <f>IF(AND($F20&lt;=J$2,H19&gt;0),H19*$F20,0)</f>
        <v>18</v>
      </c>
      <c r="I20" s="19">
        <f>IF(H19&lt;$C$23,0,H20)</f>
        <v>18</v>
      </c>
      <c r="J20" s="20">
        <v>0</v>
      </c>
      <c r="K20" s="21" t="e">
        <f>IF(AND($F20&lt;=M$2,K19&gt;0),K19*$F20,0)</f>
        <v>#REF!</v>
      </c>
      <c r="L20" s="19" t="e">
        <f>IF(K19&lt;$C$23,0,K20)</f>
        <v>#REF!</v>
      </c>
      <c r="M20" s="21">
        <v>0</v>
      </c>
      <c r="N20" s="21" t="e">
        <f>IF(AND($F20&lt;=P$2,N19&gt;0),N19*$F20,0)</f>
        <v>#REF!</v>
      </c>
      <c r="O20" s="19" t="e">
        <f>IF(N19&lt;$C$23,0,N20)</f>
        <v>#REF!</v>
      </c>
      <c r="P20" s="21">
        <v>0</v>
      </c>
      <c r="Q20" s="21" t="e">
        <f>IF(AND($F20&lt;=S$2,Q19&gt;0),Q19*$F20,0)</f>
        <v>#REF!</v>
      </c>
      <c r="R20" s="19" t="e">
        <f>IF(Q19&lt;$C$23,0,Q20)</f>
        <v>#REF!</v>
      </c>
      <c r="S20" s="21">
        <v>0</v>
      </c>
      <c r="T20" s="21" t="e">
        <f>IF(AND($F20&lt;=V$2,T19&gt;0),T19*$F20,0)</f>
        <v>#REF!</v>
      </c>
      <c r="U20" s="19" t="e">
        <f>IF(T19&lt;$C$23,0,T20)</f>
        <v>#REF!</v>
      </c>
      <c r="V20" s="21">
        <v>0</v>
      </c>
      <c r="W20" s="21" t="e">
        <f>IF(AND($F20&lt;=Y$2,W19&gt;0),W19*$F20,0)</f>
        <v>#REF!</v>
      </c>
      <c r="X20" s="19" t="e">
        <f>IF(W19&lt;$C$23,0,W20)</f>
        <v>#REF!</v>
      </c>
      <c r="Y20" s="21">
        <v>0</v>
      </c>
      <c r="Z20" s="21" t="e">
        <f>IF(AND($F20&lt;=AB$2,Z19&gt;0),Z19*$F20,0)</f>
        <v>#REF!</v>
      </c>
      <c r="AA20" s="19" t="e">
        <f>IF(Z19&lt;$C$23,0,Z20)</f>
        <v>#REF!</v>
      </c>
      <c r="AB20" s="21">
        <v>0</v>
      </c>
      <c r="AC20" s="21" t="e">
        <f>IF(AND($F20&lt;=AE$2,AC19&gt;0),AC19*$F20,0)</f>
        <v>#REF!</v>
      </c>
      <c r="AD20" s="19" t="e">
        <f>IF(AC19&lt;$C$23,0,AC20)</f>
        <v>#REF!</v>
      </c>
      <c r="AE20" s="21">
        <v>0</v>
      </c>
      <c r="AF20" s="21" t="e">
        <f>IF(AND($F20&lt;=AH$2,AF19&gt;0),AF19*$F20,0)</f>
        <v>#REF!</v>
      </c>
      <c r="AG20" s="19" t="e">
        <f>IF(AF19&lt;$C$23,0,AF20)</f>
        <v>#REF!</v>
      </c>
      <c r="AH20" s="21">
        <v>0</v>
      </c>
      <c r="AI20" s="21" t="e">
        <f>IF(AND($F20&lt;=AK$2,AI19&gt;0),AI19*$F20,0)</f>
        <v>#REF!</v>
      </c>
      <c r="AJ20" s="19" t="e">
        <f>IF(AI19&lt;$C$23,0,AI20)</f>
        <v>#REF!</v>
      </c>
      <c r="AK20" s="21">
        <v>0</v>
      </c>
      <c r="AL20" s="21" t="e">
        <f>IF(AND($F20&lt;=AN$2,AL19&gt;0),AL19*$F20,0)</f>
        <v>#REF!</v>
      </c>
      <c r="AM20" s="19" t="e">
        <f>IF(AL19&lt;$C$23,0,AL20)</f>
        <v>#REF!</v>
      </c>
      <c r="AN20" s="21">
        <v>0</v>
      </c>
      <c r="AO20" s="21" t="e">
        <f>IF(AND($F20&lt;=AQ$2,AO19&gt;0),AO19*$F20,0)</f>
        <v>#REF!</v>
      </c>
      <c r="AP20" s="19" t="e">
        <f>IF(AO19&lt;$C$23,0,AO20)</f>
        <v>#REF!</v>
      </c>
      <c r="AQ20" s="21">
        <v>0</v>
      </c>
      <c r="AR20" s="21" t="e">
        <f>IF(AND($F20&lt;=AT$2,AR19&gt;0),AR19*$F20,0)</f>
        <v>#REF!</v>
      </c>
      <c r="AS20" s="19" t="e">
        <f>IF(AR19&lt;$C$23,0,AR20)</f>
        <v>#REF!</v>
      </c>
      <c r="AT20" s="21">
        <v>0</v>
      </c>
      <c r="AU20" s="21" t="e">
        <f>IF(AND($F20&lt;=AW$2,AU19&gt;0),AU19*$F20,0)</f>
        <v>#REF!</v>
      </c>
      <c r="AV20" s="19" t="e">
        <f>IF(AU19&lt;$C$23,0,AU20)</f>
        <v>#REF!</v>
      </c>
      <c r="AW20" s="21">
        <v>0</v>
      </c>
      <c r="AX20" s="21" t="e">
        <f>IF(AND($F20&lt;=AZ$2,AX19&gt;0),AX19*$F20,0)</f>
        <v>#REF!</v>
      </c>
      <c r="AY20" s="19" t="e">
        <f>IF(AX19&lt;$C$23,0,AX20)</f>
        <v>#REF!</v>
      </c>
      <c r="AZ20" s="21">
        <v>0</v>
      </c>
      <c r="BA20" s="22" t="e">
        <f t="shared" si="1"/>
        <v>#REF!</v>
      </c>
      <c r="BC20" t="s">
        <v>130</v>
      </c>
      <c r="BD20">
        <v>435</v>
      </c>
      <c r="BE20">
        <v>52.9</v>
      </c>
      <c r="BF20">
        <v>40.5</v>
      </c>
      <c r="BG20">
        <v>-0.27</v>
      </c>
      <c r="BH20" s="12">
        <v>9.82</v>
      </c>
      <c r="BI20" s="12">
        <v>10.46</v>
      </c>
      <c r="BJ20" s="12"/>
      <c r="BK20" s="12"/>
      <c r="BM20" t="s">
        <v>131</v>
      </c>
      <c r="BN20">
        <v>6</v>
      </c>
      <c r="BO20">
        <v>12000</v>
      </c>
      <c r="BP20">
        <v>550</v>
      </c>
      <c r="BQ20">
        <v>40</v>
      </c>
      <c r="BR20" s="23">
        <v>22</v>
      </c>
      <c r="BS20">
        <v>22</v>
      </c>
      <c r="CF20" s="24"/>
      <c r="CG20">
        <v>18</v>
      </c>
      <c r="CH20">
        <v>18</v>
      </c>
      <c r="CU20" s="24"/>
      <c r="CV20">
        <v>1</v>
      </c>
      <c r="CW20">
        <v>1</v>
      </c>
      <c r="DK20" s="25">
        <v>168766</v>
      </c>
      <c r="DL20" s="25" t="s">
        <v>516</v>
      </c>
    </row>
    <row r="21" spans="2:116" ht="15.75" customHeight="1">
      <c r="B21" s="37" t="s">
        <v>132</v>
      </c>
      <c r="C21" s="38" t="e">
        <f>C20*C3</f>
        <v>#REF!</v>
      </c>
      <c r="D21" t="s">
        <v>133</v>
      </c>
      <c r="F21" s="26">
        <v>3</v>
      </c>
      <c r="G21" s="27">
        <f t="shared" si="19"/>
        <v>0</v>
      </c>
      <c r="H21" s="21">
        <f>IF(AND($F21&lt;=J$2,H19&gt;0),H19*$F21,0)</f>
        <v>27</v>
      </c>
      <c r="I21" s="19">
        <f>IF(H19&lt;$C$23,0,H21)</f>
        <v>27</v>
      </c>
      <c r="J21" s="20">
        <v>0</v>
      </c>
      <c r="K21" s="21" t="e">
        <f>IF(AND($F21&lt;=M$2,K19&gt;0),K19*$F21,0)</f>
        <v>#REF!</v>
      </c>
      <c r="L21" s="19" t="e">
        <f>IF(K19&lt;$C$23,0,K21)</f>
        <v>#REF!</v>
      </c>
      <c r="M21" s="21">
        <v>0</v>
      </c>
      <c r="N21" s="21" t="e">
        <f>IF(AND($F21&lt;=P$2,N19&gt;0),N19*$F21,0)</f>
        <v>#REF!</v>
      </c>
      <c r="O21" s="19" t="e">
        <f>IF(N19&lt;$C$23,0,N21)</f>
        <v>#REF!</v>
      </c>
      <c r="P21" s="21">
        <v>0</v>
      </c>
      <c r="Q21" s="21" t="e">
        <f>IF(AND($F21&lt;=S$2,Q19&gt;0),Q19*$F21,0)</f>
        <v>#REF!</v>
      </c>
      <c r="R21" s="19" t="e">
        <f>IF(Q19&lt;$C$23,0,Q21)</f>
        <v>#REF!</v>
      </c>
      <c r="S21" s="21">
        <v>0</v>
      </c>
      <c r="T21" s="21" t="e">
        <f>IF(AND($F21&lt;=V$2,T19&gt;0),T19*$F21,0)</f>
        <v>#REF!</v>
      </c>
      <c r="U21" s="19" t="e">
        <f>IF(T19&lt;$C$23,0,T21)</f>
        <v>#REF!</v>
      </c>
      <c r="V21" s="21">
        <v>0</v>
      </c>
      <c r="W21" s="21" t="e">
        <f>IF(AND($F21&lt;=Y$2,W19&gt;0),W19*$F21,0)</f>
        <v>#REF!</v>
      </c>
      <c r="X21" s="19" t="e">
        <f>IF(W19&lt;$C$23,0,W21)</f>
        <v>#REF!</v>
      </c>
      <c r="Y21" s="21">
        <v>0</v>
      </c>
      <c r="Z21" s="21" t="e">
        <f>IF(AND($F21&lt;=AB$2,Z19&gt;0),Z19*$F21,0)</f>
        <v>#REF!</v>
      </c>
      <c r="AA21" s="19" t="e">
        <f>IF(Z19&lt;$C$23,0,Z21)</f>
        <v>#REF!</v>
      </c>
      <c r="AB21" s="21">
        <v>0</v>
      </c>
      <c r="AC21" s="21" t="e">
        <f>IF(AND($F21&lt;=AE$2,AC19&gt;0),AC19*$F21,0)</f>
        <v>#REF!</v>
      </c>
      <c r="AD21" s="19" t="e">
        <f>IF(AC19&lt;$C$23,0,AC21)</f>
        <v>#REF!</v>
      </c>
      <c r="AE21" s="21">
        <v>0</v>
      </c>
      <c r="AF21" s="21" t="e">
        <f>IF(AND($F21&lt;=AH$2,AF19&gt;0),AF19*$F21,0)</f>
        <v>#REF!</v>
      </c>
      <c r="AG21" s="19" t="e">
        <f>IF(AF19&lt;$C$23,0,AF21)</f>
        <v>#REF!</v>
      </c>
      <c r="AH21" s="21">
        <v>0</v>
      </c>
      <c r="AI21" s="21" t="e">
        <f>IF(AND($F21&lt;=AK$2,AI19&gt;0),AI19*$F21,0)</f>
        <v>#REF!</v>
      </c>
      <c r="AJ21" s="19" t="e">
        <f>IF(AI19&lt;$C$23,0,AI21)</f>
        <v>#REF!</v>
      </c>
      <c r="AK21" s="21">
        <v>0</v>
      </c>
      <c r="AL21" s="21" t="e">
        <f>IF(AND($F21&lt;=AN$2,AL19&gt;0),AL19*$F21,0)</f>
        <v>#REF!</v>
      </c>
      <c r="AM21" s="19" t="e">
        <f>IF(AL19&lt;$C$23,0,AL21)</f>
        <v>#REF!</v>
      </c>
      <c r="AN21" s="21">
        <v>0</v>
      </c>
      <c r="AO21" s="21" t="e">
        <f>IF(AND($F21&lt;=AQ$2,AO19&gt;0),AO19*$F21,0)</f>
        <v>#REF!</v>
      </c>
      <c r="AP21" s="19" t="e">
        <f>IF(AO19&lt;$C$23,0,AO21)</f>
        <v>#REF!</v>
      </c>
      <c r="AQ21" s="21">
        <v>0</v>
      </c>
      <c r="AR21" s="21" t="e">
        <f>IF(AND($F21&lt;=AT$2,AR19&gt;0),AR19*$F21,0)</f>
        <v>#REF!</v>
      </c>
      <c r="AS21" s="19" t="e">
        <f>IF(AR19&lt;$C$23,0,AR21)</f>
        <v>#REF!</v>
      </c>
      <c r="AT21" s="21">
        <v>0</v>
      </c>
      <c r="AU21" s="21" t="e">
        <f>IF(AND($F21&lt;=AW$2,AU19&gt;0),AU19*$F21,0)</f>
        <v>#REF!</v>
      </c>
      <c r="AV21" s="19" t="e">
        <f>IF(AU19&lt;$C$23,0,AU21)</f>
        <v>#REF!</v>
      </c>
      <c r="AW21" s="21">
        <v>0</v>
      </c>
      <c r="AX21" s="21" t="e">
        <f>IF(AND($F21&lt;=AZ$2,AX19&gt;0),AX19*$F21,0)</f>
        <v>#REF!</v>
      </c>
      <c r="AY21" s="19" t="e">
        <f>IF(AX19&lt;$C$23,0,AX21)</f>
        <v>#REF!</v>
      </c>
      <c r="AZ21" s="21">
        <v>0</v>
      </c>
      <c r="BA21" s="22" t="e">
        <f t="shared" si="1"/>
        <v>#REF!</v>
      </c>
      <c r="BC21" t="s">
        <v>134</v>
      </c>
      <c r="BD21">
        <v>440</v>
      </c>
      <c r="BE21">
        <v>53.1</v>
      </c>
      <c r="BF21">
        <v>40.700000000000003</v>
      </c>
      <c r="BG21">
        <v>-0.27</v>
      </c>
      <c r="BH21" s="12">
        <v>9.89</v>
      </c>
      <c r="BI21" s="12">
        <v>10.52</v>
      </c>
      <c r="BJ21" s="12"/>
      <c r="BK21" s="12"/>
      <c r="BM21" t="s">
        <v>135</v>
      </c>
      <c r="BN21">
        <v>7.5</v>
      </c>
      <c r="BO21">
        <v>15000</v>
      </c>
      <c r="BP21">
        <v>600</v>
      </c>
      <c r="BQ21">
        <v>80</v>
      </c>
      <c r="BR21" s="23">
        <v>35</v>
      </c>
      <c r="BS21">
        <v>20</v>
      </c>
      <c r="CF21" s="24"/>
      <c r="CG21" s="33">
        <v>27</v>
      </c>
      <c r="CH21" s="33">
        <v>16</v>
      </c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4"/>
      <c r="CV21">
        <v>2</v>
      </c>
      <c r="CW21">
        <v>1</v>
      </c>
      <c r="DK21" s="15">
        <v>167958</v>
      </c>
      <c r="DL21" s="15" t="s">
        <v>516</v>
      </c>
    </row>
    <row r="22" spans="2:116" ht="15.75" customHeight="1">
      <c r="F22" s="26">
        <v>4</v>
      </c>
      <c r="G22" s="27">
        <f t="shared" si="19"/>
        <v>0</v>
      </c>
      <c r="H22" s="21">
        <f>IF(AND($F22&lt;=J$2,H19&gt;0),H19*$F22,0)</f>
        <v>36</v>
      </c>
      <c r="I22" s="19">
        <f>IF(H19&lt;$C$23,0,H22)</f>
        <v>36</v>
      </c>
      <c r="J22" s="20">
        <v>0</v>
      </c>
      <c r="K22" s="21" t="e">
        <f>IF(AND($F22&lt;=M$2,K19&gt;0),K19*$F22,0)</f>
        <v>#REF!</v>
      </c>
      <c r="L22" s="19" t="e">
        <f>IF(K19&lt;$C$23,0,K22)</f>
        <v>#REF!</v>
      </c>
      <c r="M22" s="21">
        <v>0</v>
      </c>
      <c r="N22" s="21" t="e">
        <f>IF(AND($F22&lt;=P$2,N19&gt;0),N19*$F22,0)</f>
        <v>#REF!</v>
      </c>
      <c r="O22" s="19" t="e">
        <f>IF(N19&lt;$C$23,0,N22)</f>
        <v>#REF!</v>
      </c>
      <c r="P22" s="21">
        <v>0</v>
      </c>
      <c r="Q22" s="21" t="e">
        <f>IF(AND($F22&lt;=S$2,Q19&gt;0),Q19*$F22,0)</f>
        <v>#REF!</v>
      </c>
      <c r="R22" s="19" t="e">
        <f>IF(Q19&lt;$C$23,0,Q22)</f>
        <v>#REF!</v>
      </c>
      <c r="S22" s="21">
        <v>0</v>
      </c>
      <c r="T22" s="21" t="e">
        <f>IF(AND($F22&lt;=V$2,T19&gt;0),T19*$F22,0)</f>
        <v>#REF!</v>
      </c>
      <c r="U22" s="19" t="e">
        <f>IF(T19&lt;$C$23,0,T22)</f>
        <v>#REF!</v>
      </c>
      <c r="V22" s="21">
        <v>0</v>
      </c>
      <c r="W22" s="21" t="e">
        <f>IF(AND($F22&lt;=Y$2,W19&gt;0),W19*$F22,0)</f>
        <v>#REF!</v>
      </c>
      <c r="X22" s="19" t="e">
        <f>IF(W19&lt;$C$23,0,W22)</f>
        <v>#REF!</v>
      </c>
      <c r="Y22" s="21">
        <v>0</v>
      </c>
      <c r="Z22" s="21" t="e">
        <f>IF(AND($F22&lt;=AB$2,Z19&gt;0),Z19*$F22,0)</f>
        <v>#REF!</v>
      </c>
      <c r="AA22" s="19" t="e">
        <f>IF(Z19&lt;$C$23,0,Z22)</f>
        <v>#REF!</v>
      </c>
      <c r="AB22" s="21">
        <v>0</v>
      </c>
      <c r="AC22" s="21" t="e">
        <f>IF(AND($F22&lt;=AE$2,AC19&gt;0),AC19*$F22,0)</f>
        <v>#REF!</v>
      </c>
      <c r="AD22" s="19" t="e">
        <f>IF(AC19&lt;$C$23,0,AC22)</f>
        <v>#REF!</v>
      </c>
      <c r="AE22" s="21">
        <v>0</v>
      </c>
      <c r="AF22" s="21" t="e">
        <f>IF(AND($F22&lt;=AH$2,AF19&gt;0),AF19*$F22,0)</f>
        <v>#REF!</v>
      </c>
      <c r="AG22" s="19" t="e">
        <f>IF(AF19&lt;$C$23,0,AF22)</f>
        <v>#REF!</v>
      </c>
      <c r="AH22" s="21">
        <v>0</v>
      </c>
      <c r="AI22" s="21" t="e">
        <f>IF(AND($F22&lt;=AK$2,AI19&gt;0),AI19*$F22,0)</f>
        <v>#REF!</v>
      </c>
      <c r="AJ22" s="19" t="e">
        <f>IF(AI19&lt;$C$23,0,AI22)</f>
        <v>#REF!</v>
      </c>
      <c r="AK22" s="21">
        <v>0</v>
      </c>
      <c r="AL22" s="21" t="e">
        <f>IF(AND($F22&lt;=AN$2,AL19&gt;0),AL19*$F22,0)</f>
        <v>#REF!</v>
      </c>
      <c r="AM22" s="19" t="e">
        <f>IF(AL19&lt;$C$23,0,AL22)</f>
        <v>#REF!</v>
      </c>
      <c r="AN22" s="21">
        <v>0</v>
      </c>
      <c r="AO22" s="21" t="e">
        <f>IF(AND($F22&lt;=AQ$2,AO19&gt;0),AO19*$F22,0)</f>
        <v>#REF!</v>
      </c>
      <c r="AP22" s="19" t="e">
        <f>IF(AO19&lt;$C$23,0,AO22)</f>
        <v>#REF!</v>
      </c>
      <c r="AQ22" s="21">
        <v>0</v>
      </c>
      <c r="AR22" s="21" t="e">
        <f>IF(AND($F22&lt;=AT$2,AR19&gt;0),AR19*$F22,0)</f>
        <v>#REF!</v>
      </c>
      <c r="AS22" s="19" t="e">
        <f>IF(AR19&lt;$C$23,0,AR22)</f>
        <v>#REF!</v>
      </c>
      <c r="AT22" s="21">
        <v>0</v>
      </c>
      <c r="AU22" s="21" t="e">
        <f>IF(AND($F22&lt;=AW$2,AU19&gt;0),AU19*$F22,0)</f>
        <v>#REF!</v>
      </c>
      <c r="AV22" s="19" t="e">
        <f>IF(AU19&lt;$C$23,0,AU22)</f>
        <v>#REF!</v>
      </c>
      <c r="AW22" s="21">
        <v>0</v>
      </c>
      <c r="AX22" s="21" t="e">
        <f>IF(AND($F22&lt;=AZ$2,AX19&gt;0),AX19*$F22,0)</f>
        <v>#REF!</v>
      </c>
      <c r="AY22" s="19" t="e">
        <f>IF(AX19&lt;$C$23,0,AX22)</f>
        <v>#REF!</v>
      </c>
      <c r="AZ22" s="21">
        <v>0</v>
      </c>
      <c r="BA22" s="22" t="e">
        <f t="shared" si="1"/>
        <v>#REF!</v>
      </c>
      <c r="BC22" t="s">
        <v>136</v>
      </c>
      <c r="BD22">
        <v>445</v>
      </c>
      <c r="BE22">
        <v>48.9</v>
      </c>
      <c r="BF22">
        <v>40.9</v>
      </c>
      <c r="BG22">
        <v>-0.27</v>
      </c>
      <c r="BH22" s="12">
        <v>10.89</v>
      </c>
      <c r="BI22" s="12">
        <v>11.54</v>
      </c>
      <c r="BJ22" s="12"/>
      <c r="BK22" s="12"/>
      <c r="BM22" t="s">
        <v>137</v>
      </c>
      <c r="BN22">
        <v>75</v>
      </c>
      <c r="BO22">
        <v>150000</v>
      </c>
      <c r="BP22">
        <v>1100</v>
      </c>
      <c r="BQ22">
        <v>180</v>
      </c>
      <c r="BR22" s="13">
        <v>60</v>
      </c>
      <c r="BS22">
        <v>60</v>
      </c>
      <c r="BT22">
        <v>60</v>
      </c>
      <c r="BU22">
        <v>60</v>
      </c>
      <c r="CF22" s="14"/>
      <c r="CG22">
        <v>48</v>
      </c>
      <c r="CH22">
        <v>48</v>
      </c>
      <c r="CI22">
        <v>48</v>
      </c>
      <c r="CJ22">
        <v>48</v>
      </c>
      <c r="CU22" s="14"/>
      <c r="CV22">
        <v>3</v>
      </c>
      <c r="CW22">
        <v>3</v>
      </c>
      <c r="CX22">
        <v>3</v>
      </c>
      <c r="CY22">
        <v>3</v>
      </c>
      <c r="DK22" s="25">
        <v>186180</v>
      </c>
      <c r="DL22" s="25" t="s">
        <v>516</v>
      </c>
    </row>
    <row r="23" spans="2:116" ht="15.75" customHeight="1">
      <c r="B23" s="35" t="s">
        <v>138</v>
      </c>
      <c r="C23" s="36">
        <f>ROUNDUP($C$18/$C$12,0)</f>
        <v>2</v>
      </c>
      <c r="F23" s="26">
        <v>5</v>
      </c>
      <c r="G23" s="27">
        <f t="shared" si="19"/>
        <v>0</v>
      </c>
      <c r="H23" s="21">
        <f>IF(AND($F23&lt;=J$2,H19&gt;0),H19*$F23,0)</f>
        <v>45</v>
      </c>
      <c r="I23" s="19">
        <f>IF(H19&lt;$C$23,0,H23)</f>
        <v>45</v>
      </c>
      <c r="J23" s="20">
        <v>0</v>
      </c>
      <c r="K23" s="21" t="e">
        <f>IF(AND($F23&lt;=M$2,K19&gt;0),K19*$F23,0)</f>
        <v>#REF!</v>
      </c>
      <c r="L23" s="19" t="e">
        <f>IF(K19&lt;$C$23,0,K23)</f>
        <v>#REF!</v>
      </c>
      <c r="M23" s="21">
        <v>0</v>
      </c>
      <c r="N23" s="21" t="e">
        <f>IF(AND($F23&lt;=P$2,N19&gt;0),N19*$F23,0)</f>
        <v>#REF!</v>
      </c>
      <c r="O23" s="19" t="e">
        <f>IF(N19&lt;$C$23,0,N23)</f>
        <v>#REF!</v>
      </c>
      <c r="P23" s="21">
        <v>0</v>
      </c>
      <c r="Q23" s="21" t="e">
        <f>IF(AND($F23&lt;=S$2,Q19&gt;0),Q19*$F23,0)</f>
        <v>#REF!</v>
      </c>
      <c r="R23" s="19" t="e">
        <f>IF(Q19&lt;$C$23,0,Q23)</f>
        <v>#REF!</v>
      </c>
      <c r="S23" s="21">
        <v>0</v>
      </c>
      <c r="T23" s="21" t="e">
        <f>IF(AND($F23&lt;=V$2,T19&gt;0),T19*$F23,0)</f>
        <v>#REF!</v>
      </c>
      <c r="U23" s="19" t="e">
        <f>IF(T19&lt;$C$23,0,T23)</f>
        <v>#REF!</v>
      </c>
      <c r="V23" s="21">
        <v>0</v>
      </c>
      <c r="W23" s="21" t="e">
        <f>IF(AND($F23&lt;=Y$2,W19&gt;0),W19*$F23,0)</f>
        <v>#REF!</v>
      </c>
      <c r="X23" s="19" t="e">
        <f>IF(W19&lt;$C$23,0,W23)</f>
        <v>#REF!</v>
      </c>
      <c r="Y23" s="21">
        <v>0</v>
      </c>
      <c r="Z23" s="21" t="e">
        <f>IF(AND($F23&lt;=AB$2,Z19&gt;0),Z19*$F23,0)</f>
        <v>#REF!</v>
      </c>
      <c r="AA23" s="19" t="e">
        <f>IF(Z19&lt;$C$23,0,Z23)</f>
        <v>#REF!</v>
      </c>
      <c r="AB23" s="21">
        <v>0</v>
      </c>
      <c r="AC23" s="21" t="e">
        <f>IF(AND($F23&lt;=AE$2,AC19&gt;0),AC19*$F23,0)</f>
        <v>#REF!</v>
      </c>
      <c r="AD23" s="19" t="e">
        <f>IF(AC19&lt;$C$23,0,AC23)</f>
        <v>#REF!</v>
      </c>
      <c r="AE23" s="21">
        <v>0</v>
      </c>
      <c r="AF23" s="21" t="e">
        <f>IF(AND($F23&lt;=AH$2,AF19&gt;0),AF19*$F23,0)</f>
        <v>#REF!</v>
      </c>
      <c r="AG23" s="19" t="e">
        <f>IF(AF19&lt;$C$23,0,AF23)</f>
        <v>#REF!</v>
      </c>
      <c r="AH23" s="21">
        <v>0</v>
      </c>
      <c r="AI23" s="21" t="e">
        <f>IF(AND($F23&lt;=AK$2,AI19&gt;0),AI19*$F23,0)</f>
        <v>#REF!</v>
      </c>
      <c r="AJ23" s="19" t="e">
        <f>IF(AI19&lt;$C$23,0,AI23)</f>
        <v>#REF!</v>
      </c>
      <c r="AK23" s="21">
        <v>0</v>
      </c>
      <c r="AL23" s="21" t="e">
        <f>IF(AND($F23&lt;=AN$2,AL19&gt;0),AL19*$F23,0)</f>
        <v>#REF!</v>
      </c>
      <c r="AM23" s="19" t="e">
        <f>IF(AL19&lt;$C$23,0,AL23)</f>
        <v>#REF!</v>
      </c>
      <c r="AN23" s="21">
        <v>0</v>
      </c>
      <c r="AO23" s="21" t="e">
        <f>IF(AND($F23&lt;=AQ$2,AO19&gt;0),AO19*$F23,0)</f>
        <v>#REF!</v>
      </c>
      <c r="AP23" s="19" t="e">
        <f>IF(AO19&lt;$C$23,0,AO23)</f>
        <v>#REF!</v>
      </c>
      <c r="AQ23" s="21">
        <v>0</v>
      </c>
      <c r="AR23" s="21" t="e">
        <f>IF(AND($F23&lt;=AT$2,AR19&gt;0),AR19*$F23,0)</f>
        <v>#REF!</v>
      </c>
      <c r="AS23" s="19" t="e">
        <f>IF(AR19&lt;$C$23,0,AR23)</f>
        <v>#REF!</v>
      </c>
      <c r="AT23" s="21">
        <v>0</v>
      </c>
      <c r="AU23" s="21" t="e">
        <f>IF(AND($F23&lt;=AW$2,AU19&gt;0),AU19*$F23,0)</f>
        <v>#REF!</v>
      </c>
      <c r="AV23" s="19" t="e">
        <f>IF(AU19&lt;$C$23,0,AU23)</f>
        <v>#REF!</v>
      </c>
      <c r="AW23" s="21">
        <v>0</v>
      </c>
      <c r="AX23" s="21" t="e">
        <f>IF(AND($F23&lt;=AZ$2,AX19&gt;0),AX19*$F23,0)</f>
        <v>#REF!</v>
      </c>
      <c r="AY23" s="19" t="e">
        <f>IF(AX19&lt;$C$23,0,AX23)</f>
        <v>#REF!</v>
      </c>
      <c r="AZ23" s="21">
        <v>0</v>
      </c>
      <c r="BA23" s="22" t="e">
        <f t="shared" si="1"/>
        <v>#REF!</v>
      </c>
      <c r="BC23" t="s">
        <v>139</v>
      </c>
      <c r="BD23">
        <v>450</v>
      </c>
      <c r="BE23">
        <v>49.1</v>
      </c>
      <c r="BF23">
        <v>41.1</v>
      </c>
      <c r="BG23">
        <v>-0.27</v>
      </c>
      <c r="BH23" s="12">
        <v>10.96</v>
      </c>
      <c r="BI23" s="12">
        <v>11.6</v>
      </c>
      <c r="BJ23" s="12"/>
      <c r="BK23" s="12"/>
      <c r="BM23" t="s">
        <v>140</v>
      </c>
      <c r="BN23">
        <v>75</v>
      </c>
      <c r="BO23">
        <v>150000</v>
      </c>
      <c r="BP23">
        <v>800</v>
      </c>
      <c r="BQ23">
        <v>195</v>
      </c>
      <c r="BR23" s="13">
        <v>50</v>
      </c>
      <c r="BS23">
        <v>50</v>
      </c>
      <c r="BT23">
        <v>50</v>
      </c>
      <c r="BU23">
        <v>50</v>
      </c>
      <c r="BV23">
        <v>50</v>
      </c>
      <c r="BW23">
        <v>50</v>
      </c>
      <c r="BX23">
        <v>50</v>
      </c>
      <c r="BY23">
        <v>50</v>
      </c>
      <c r="CF23" s="14"/>
      <c r="CG23">
        <v>40</v>
      </c>
      <c r="CH23">
        <v>40</v>
      </c>
      <c r="CI23">
        <v>40</v>
      </c>
      <c r="CJ23">
        <v>40</v>
      </c>
      <c r="CK23">
        <v>40</v>
      </c>
      <c r="CL23">
        <v>40</v>
      </c>
      <c r="CM23">
        <v>40</v>
      </c>
      <c r="CN23">
        <v>40</v>
      </c>
      <c r="CU23" s="14"/>
      <c r="CV23">
        <v>2</v>
      </c>
      <c r="CW23">
        <v>2</v>
      </c>
      <c r="CX23">
        <v>2</v>
      </c>
      <c r="CY23">
        <v>2</v>
      </c>
      <c r="CZ23">
        <v>2</v>
      </c>
      <c r="DA23">
        <v>2</v>
      </c>
      <c r="DB23">
        <v>2</v>
      </c>
      <c r="DC23">
        <v>2</v>
      </c>
      <c r="DK23" s="15">
        <v>186186</v>
      </c>
      <c r="DL23" s="15" t="s">
        <v>516</v>
      </c>
    </row>
    <row r="24" spans="2:116" ht="15.75" customHeight="1">
      <c r="B24" s="37" t="s">
        <v>141</v>
      </c>
      <c r="C24" s="38">
        <f>C23*C3</f>
        <v>830</v>
      </c>
      <c r="F24" s="26">
        <v>1</v>
      </c>
      <c r="G24" s="27">
        <f t="shared" ref="G24:G28" si="20">IF(OR(J24&lt;&gt;0,M24&lt;&gt;0,P24&lt;&gt;0,S24&lt;&gt;0,V24&lt;&gt;0,Y24&lt;&gt;0,AB24&lt;&gt;0,AE24&lt;&gt;0,AH24&lt;&gt;0,AK24&lt;&gt;0,AN24&lt;&gt;0,AQ24&lt;&gt;0,AT24&lt;&gt;0,AW24&lt;&gt;0,AZ24&lt;&gt;0),$C$26-4,0)</f>
        <v>0</v>
      </c>
      <c r="H24" s="21">
        <f>IF(AND($F24&lt;=J$2,H19&gt;0),H19-1,0)</f>
        <v>8</v>
      </c>
      <c r="I24" s="19">
        <f>IF(H24&lt;$C$23,0,H24)</f>
        <v>8</v>
      </c>
      <c r="J24" s="20">
        <v>0</v>
      </c>
      <c r="K24" s="21" t="e">
        <f>IF(AND($F24&lt;=M$2,K19&gt;0),K19-1,0)</f>
        <v>#REF!</v>
      </c>
      <c r="L24" s="19" t="e">
        <f>IF(K24&lt;$C$23,0,K24)</f>
        <v>#REF!</v>
      </c>
      <c r="M24" s="21">
        <v>0</v>
      </c>
      <c r="N24" s="21" t="e">
        <f>IF(AND($F24&lt;=P$2,N19&gt;0),N19-1,0)</f>
        <v>#REF!</v>
      </c>
      <c r="O24" s="19" t="e">
        <f>IF(N24&lt;$C$23,0,N24)</f>
        <v>#REF!</v>
      </c>
      <c r="P24" s="21">
        <v>0</v>
      </c>
      <c r="Q24" s="21" t="e">
        <f>IF(AND($F24&lt;=S$2,Q19&gt;0),Q19-1,0)</f>
        <v>#REF!</v>
      </c>
      <c r="R24" s="19" t="e">
        <f>IF(Q24&lt;$C$23,0,Q24)</f>
        <v>#REF!</v>
      </c>
      <c r="S24" s="21">
        <v>0</v>
      </c>
      <c r="T24" s="21" t="e">
        <f>IF(AND($F24&lt;=V$2,T19&gt;0),T19-1,0)</f>
        <v>#REF!</v>
      </c>
      <c r="U24" s="19" t="e">
        <f>IF(T24&lt;$C$23,0,T24)</f>
        <v>#REF!</v>
      </c>
      <c r="V24" s="21">
        <v>0</v>
      </c>
      <c r="W24" s="21" t="e">
        <f>IF(AND($F24&lt;=Y$2,W19&gt;0),W19-1,0)</f>
        <v>#REF!</v>
      </c>
      <c r="X24" s="19" t="e">
        <f>IF(W24&lt;$C$23,0,W24)</f>
        <v>#REF!</v>
      </c>
      <c r="Y24" s="21">
        <v>0</v>
      </c>
      <c r="Z24" s="21" t="e">
        <f>IF(AND($F24&lt;=AB$2,Z19&gt;0),Z19-1,0)</f>
        <v>#REF!</v>
      </c>
      <c r="AA24" s="19" t="e">
        <f>IF(Z24&lt;$C$23,0,Z24)</f>
        <v>#REF!</v>
      </c>
      <c r="AB24" s="21">
        <v>0</v>
      </c>
      <c r="AC24" s="21" t="e">
        <f>IF(AND($F24&lt;=AE$2,AC19&gt;0),AC19-1,0)</f>
        <v>#REF!</v>
      </c>
      <c r="AD24" s="19" t="e">
        <f>IF(AC24&lt;$C$23,0,AC24)</f>
        <v>#REF!</v>
      </c>
      <c r="AE24" s="21">
        <v>0</v>
      </c>
      <c r="AF24" s="21" t="e">
        <f>IF(AND($F24&lt;=AH$2,AF19&gt;0),AF19-1,0)</f>
        <v>#REF!</v>
      </c>
      <c r="AG24" s="19" t="e">
        <f>IF(AF24&lt;$C$23,0,AF24)</f>
        <v>#REF!</v>
      </c>
      <c r="AH24" s="21">
        <v>0</v>
      </c>
      <c r="AI24" s="21" t="e">
        <f>IF(AND($F24&lt;=AK$2,AI19&gt;0),AI19-1,0)</f>
        <v>#REF!</v>
      </c>
      <c r="AJ24" s="19" t="e">
        <f>IF(AI24&lt;$C$23,0,AI24)</f>
        <v>#REF!</v>
      </c>
      <c r="AK24" s="21">
        <v>0</v>
      </c>
      <c r="AL24" s="21" t="e">
        <f>IF(AND($F24&lt;=AN$2,AL19&gt;0),AL19-1,0)</f>
        <v>#REF!</v>
      </c>
      <c r="AM24" s="19" t="e">
        <f>IF(AL24&lt;$C$23,0,AL24)</f>
        <v>#REF!</v>
      </c>
      <c r="AN24" s="21">
        <v>0</v>
      </c>
      <c r="AO24" s="21" t="e">
        <f>IF(AND($F24&lt;=AQ$2,AO19&gt;0),AO19-1,0)</f>
        <v>#REF!</v>
      </c>
      <c r="AP24" s="19" t="e">
        <f>IF(AO24&lt;$C$23,0,AO24)</f>
        <v>#REF!</v>
      </c>
      <c r="AQ24" s="21">
        <v>0</v>
      </c>
      <c r="AR24" s="21" t="e">
        <f>IF(AND($F24&lt;=AT$2,AR19&gt;0),AR19-1,0)</f>
        <v>#REF!</v>
      </c>
      <c r="AS24" s="19" t="e">
        <f>IF(AR24&lt;$C$23,0,AR24)</f>
        <v>#REF!</v>
      </c>
      <c r="AT24" s="21">
        <v>0</v>
      </c>
      <c r="AU24" s="21" t="e">
        <f>IF(AND($F24&lt;=AW$2,AU19&gt;0),AU19-1,0)</f>
        <v>#REF!</v>
      </c>
      <c r="AV24" s="19" t="e">
        <f>IF(AU24&lt;$C$23,0,AU24)</f>
        <v>#REF!</v>
      </c>
      <c r="AW24" s="21">
        <v>0</v>
      </c>
      <c r="AX24" s="21" t="e">
        <f>IF(AND($F24&lt;=AZ$2,AX19&gt;0),AX19-1,0)</f>
        <v>#REF!</v>
      </c>
      <c r="AY24" s="19" t="e">
        <f>IF(AX24&lt;$C$23,0,AX24)</f>
        <v>#REF!</v>
      </c>
      <c r="AZ24" s="21">
        <v>0</v>
      </c>
      <c r="BA24" s="22" t="e">
        <f t="shared" si="1"/>
        <v>#REF!</v>
      </c>
      <c r="BC24" t="s">
        <v>142</v>
      </c>
      <c r="BD24">
        <v>455</v>
      </c>
      <c r="BE24">
        <v>49.3</v>
      </c>
      <c r="BF24">
        <v>41.3</v>
      </c>
      <c r="BG24">
        <v>-0.27</v>
      </c>
      <c r="BH24" s="12">
        <v>11.02</v>
      </c>
      <c r="BI24" s="12">
        <v>11.66</v>
      </c>
      <c r="BJ24" s="12"/>
      <c r="BK24" s="12"/>
      <c r="BM24" t="s">
        <v>143</v>
      </c>
      <c r="BN24">
        <v>100</v>
      </c>
      <c r="BO24">
        <v>165000</v>
      </c>
      <c r="BP24">
        <v>1100</v>
      </c>
      <c r="BQ24">
        <v>195</v>
      </c>
      <c r="BR24" s="39">
        <v>40</v>
      </c>
      <c r="BS24" s="33">
        <v>40</v>
      </c>
      <c r="BT24" s="33">
        <v>40</v>
      </c>
      <c r="BU24" s="33">
        <v>40</v>
      </c>
      <c r="BV24" s="33">
        <v>40</v>
      </c>
      <c r="BW24" s="33">
        <v>40</v>
      </c>
      <c r="BX24" s="33">
        <v>40</v>
      </c>
      <c r="BY24" s="33">
        <v>40</v>
      </c>
      <c r="BZ24" s="33">
        <v>40</v>
      </c>
      <c r="CA24" s="33">
        <v>40</v>
      </c>
      <c r="CB24" s="33"/>
      <c r="CC24" s="33"/>
      <c r="CD24" s="33"/>
      <c r="CE24" s="33"/>
      <c r="CF24" s="34"/>
      <c r="CG24" s="33">
        <v>26</v>
      </c>
      <c r="CH24" s="33">
        <v>26</v>
      </c>
      <c r="CI24" s="33">
        <v>26</v>
      </c>
      <c r="CJ24" s="33">
        <v>26</v>
      </c>
      <c r="CK24" s="33">
        <v>26</v>
      </c>
      <c r="CL24" s="33">
        <v>26</v>
      </c>
      <c r="CM24" s="33">
        <v>26</v>
      </c>
      <c r="CN24" s="33">
        <v>26</v>
      </c>
      <c r="CO24" s="33">
        <v>26</v>
      </c>
      <c r="CP24" s="33">
        <v>26</v>
      </c>
      <c r="CQ24" s="33"/>
      <c r="CR24" s="33"/>
      <c r="CS24" s="33"/>
      <c r="CT24" s="33"/>
      <c r="CU24" s="34"/>
      <c r="CV24">
        <v>2</v>
      </c>
      <c r="CW24">
        <v>2</v>
      </c>
      <c r="CX24">
        <v>2</v>
      </c>
      <c r="CY24">
        <v>2</v>
      </c>
      <c r="CZ24">
        <v>2</v>
      </c>
      <c r="DA24">
        <v>2</v>
      </c>
      <c r="DB24">
        <v>2</v>
      </c>
      <c r="DC24">
        <v>2</v>
      </c>
      <c r="DD24">
        <v>2</v>
      </c>
      <c r="DE24">
        <v>2</v>
      </c>
      <c r="DK24" s="25"/>
      <c r="DL24" s="25"/>
    </row>
    <row r="25" spans="2:116" ht="15.75" customHeight="1">
      <c r="F25" s="26">
        <v>2</v>
      </c>
      <c r="G25" s="27">
        <f t="shared" si="20"/>
        <v>0</v>
      </c>
      <c r="H25" s="21">
        <f>IF(AND($F25&lt;=J$2,H24&gt;0),H24*$F25,0)</f>
        <v>16</v>
      </c>
      <c r="I25" s="19">
        <f>IF(H24&lt;$C$23,0,H25)</f>
        <v>16</v>
      </c>
      <c r="J25" s="20">
        <v>0</v>
      </c>
      <c r="K25" s="21" t="e">
        <f>IF(AND($F25&lt;=M$2,K24&gt;0),K24*$F25,0)</f>
        <v>#REF!</v>
      </c>
      <c r="L25" s="19" t="e">
        <f>IF(K24&lt;$C$23,0,K25)</f>
        <v>#REF!</v>
      </c>
      <c r="M25" s="21">
        <v>0</v>
      </c>
      <c r="N25" s="21" t="e">
        <f>IF(AND($F25&lt;=P$2,N24&gt;0),N24*$F25,0)</f>
        <v>#REF!</v>
      </c>
      <c r="O25" s="19" t="e">
        <f>IF(N24&lt;$C$23,0,N25)</f>
        <v>#REF!</v>
      </c>
      <c r="P25" s="21">
        <v>0</v>
      </c>
      <c r="Q25" s="21" t="e">
        <f>IF(AND($F25&lt;=S$2,Q24&gt;0),Q24*$F25,0)</f>
        <v>#REF!</v>
      </c>
      <c r="R25" s="19" t="e">
        <f>IF(Q24&lt;$C$23,0,Q25)</f>
        <v>#REF!</v>
      </c>
      <c r="S25" s="21">
        <v>0</v>
      </c>
      <c r="T25" s="21" t="e">
        <f>IF(AND($F25&lt;=V$2,T24&gt;0),T24*$F25,0)</f>
        <v>#REF!</v>
      </c>
      <c r="U25" s="19" t="e">
        <f>IF(T24&lt;$C$23,0,T25)</f>
        <v>#REF!</v>
      </c>
      <c r="V25" s="21">
        <v>0</v>
      </c>
      <c r="W25" s="21" t="e">
        <f>IF(AND($F25&lt;=Y$2,W24&gt;0),W24*$F25,0)</f>
        <v>#REF!</v>
      </c>
      <c r="X25" s="19" t="e">
        <f>IF(W24&lt;$C$23,0,W25)</f>
        <v>#REF!</v>
      </c>
      <c r="Y25" s="21">
        <v>0</v>
      </c>
      <c r="Z25" s="21" t="e">
        <f>IF(AND($F25&lt;=AB$2,Z24&gt;0),Z24*$F25,0)</f>
        <v>#REF!</v>
      </c>
      <c r="AA25" s="19" t="e">
        <f>IF(Z24&lt;$C$23,0,Z25)</f>
        <v>#REF!</v>
      </c>
      <c r="AB25" s="21">
        <v>0</v>
      </c>
      <c r="AC25" s="21" t="e">
        <f>IF(AND($F25&lt;=AE$2,AC24&gt;0),AC24*$F25,0)</f>
        <v>#REF!</v>
      </c>
      <c r="AD25" s="19" t="e">
        <f>IF(AC24&lt;$C$23,0,AC25)</f>
        <v>#REF!</v>
      </c>
      <c r="AE25" s="21">
        <v>0</v>
      </c>
      <c r="AF25" s="21" t="e">
        <f>IF(AND($F25&lt;=AH$2,AF24&gt;0),AF24*$F25,0)</f>
        <v>#REF!</v>
      </c>
      <c r="AG25" s="19" t="e">
        <f>IF(AF24&lt;$C$23,0,AF25)</f>
        <v>#REF!</v>
      </c>
      <c r="AH25" s="21">
        <v>0</v>
      </c>
      <c r="AI25" s="21" t="e">
        <f>IF(AND($F25&lt;=AK$2,AI24&gt;0),AI24*$F25,0)</f>
        <v>#REF!</v>
      </c>
      <c r="AJ25" s="19" t="e">
        <f>IF(AI24&lt;$C$23,0,AI25)</f>
        <v>#REF!</v>
      </c>
      <c r="AK25" s="21">
        <v>0</v>
      </c>
      <c r="AL25" s="21" t="e">
        <f>IF(AND($F25&lt;=AN$2,AL24&gt;0),AL24*$F25,0)</f>
        <v>#REF!</v>
      </c>
      <c r="AM25" s="19" t="e">
        <f>IF(AL24&lt;$C$23,0,AL25)</f>
        <v>#REF!</v>
      </c>
      <c r="AN25" s="21">
        <v>0</v>
      </c>
      <c r="AO25" s="21" t="e">
        <f>IF(AND($F25&lt;=AQ$2,AO24&gt;0),AO24*$F25,0)</f>
        <v>#REF!</v>
      </c>
      <c r="AP25" s="19" t="e">
        <f>IF(AO24&lt;$C$23,0,AO25)</f>
        <v>#REF!</v>
      </c>
      <c r="AQ25" s="21">
        <v>0</v>
      </c>
      <c r="AR25" s="21" t="e">
        <f>IF(AND($F25&lt;=AT$2,AR24&gt;0),AR24*$F25,0)</f>
        <v>#REF!</v>
      </c>
      <c r="AS25" s="19" t="e">
        <f>IF(AR24&lt;$C$23,0,AR25)</f>
        <v>#REF!</v>
      </c>
      <c r="AT25" s="21">
        <v>0</v>
      </c>
      <c r="AU25" s="21" t="e">
        <f>IF(AND($F25&lt;=AW$2,AU24&gt;0),AU24*$F25,0)</f>
        <v>#REF!</v>
      </c>
      <c r="AV25" s="19" t="e">
        <f>IF(AU24&lt;$C$23,0,AU25)</f>
        <v>#REF!</v>
      </c>
      <c r="AW25" s="21">
        <v>0</v>
      </c>
      <c r="AX25" s="21" t="e">
        <f>IF(AND($F25&lt;=AZ$2,AX24&gt;0),AX24*$F25,0)</f>
        <v>#REF!</v>
      </c>
      <c r="AY25" s="19" t="e">
        <f>IF(AX24&lt;$C$23,0,AX25)</f>
        <v>#REF!</v>
      </c>
      <c r="AZ25" s="21">
        <v>0</v>
      </c>
      <c r="BA25" s="22" t="e">
        <f t="shared" si="1"/>
        <v>#REF!</v>
      </c>
      <c r="BC25" t="s">
        <v>144</v>
      </c>
      <c r="BD25">
        <v>535</v>
      </c>
      <c r="BE25">
        <v>49</v>
      </c>
      <c r="BF25">
        <v>40.799999999999997</v>
      </c>
      <c r="BG25">
        <v>-0.26</v>
      </c>
      <c r="BH25" s="12">
        <v>13.02</v>
      </c>
      <c r="BI25" s="12">
        <v>13.85</v>
      </c>
      <c r="BJ25" s="12"/>
      <c r="BK25" s="12"/>
      <c r="BM25" t="s">
        <v>145</v>
      </c>
      <c r="BN25">
        <v>110</v>
      </c>
      <c r="BO25">
        <v>181500</v>
      </c>
      <c r="BP25">
        <v>1100</v>
      </c>
      <c r="BQ25">
        <v>195</v>
      </c>
      <c r="BR25" s="39">
        <v>40</v>
      </c>
      <c r="BS25" s="33">
        <v>40</v>
      </c>
      <c r="BT25" s="33">
        <v>40</v>
      </c>
      <c r="BU25" s="33">
        <v>40</v>
      </c>
      <c r="BV25" s="33">
        <v>40</v>
      </c>
      <c r="BW25" s="33">
        <v>40</v>
      </c>
      <c r="BX25" s="33">
        <v>40</v>
      </c>
      <c r="BY25" s="33">
        <v>40</v>
      </c>
      <c r="BZ25" s="33">
        <v>40</v>
      </c>
      <c r="CA25" s="33">
        <v>40</v>
      </c>
      <c r="CB25" s="33"/>
      <c r="CC25" s="33"/>
      <c r="CD25" s="33"/>
      <c r="CE25" s="33"/>
      <c r="CF25" s="34"/>
      <c r="CG25" s="33">
        <v>26</v>
      </c>
      <c r="CH25" s="33">
        <v>26</v>
      </c>
      <c r="CI25" s="33">
        <v>26</v>
      </c>
      <c r="CJ25" s="33">
        <v>26</v>
      </c>
      <c r="CK25" s="33">
        <v>26</v>
      </c>
      <c r="CL25" s="33">
        <v>26</v>
      </c>
      <c r="CM25" s="33">
        <v>26</v>
      </c>
      <c r="CN25" s="33">
        <v>26</v>
      </c>
      <c r="CO25" s="33">
        <v>26</v>
      </c>
      <c r="CP25" s="33">
        <v>26</v>
      </c>
      <c r="CQ25" s="33"/>
      <c r="CR25" s="33"/>
      <c r="CS25" s="33"/>
      <c r="CT25" s="33"/>
      <c r="CU25" s="34"/>
      <c r="CV25">
        <v>2</v>
      </c>
      <c r="CW25">
        <v>2</v>
      </c>
      <c r="CX25">
        <v>2</v>
      </c>
      <c r="CY25">
        <v>2</v>
      </c>
      <c r="CZ25">
        <v>2</v>
      </c>
      <c r="DA25">
        <v>2</v>
      </c>
      <c r="DB25">
        <v>2</v>
      </c>
      <c r="DC25">
        <v>2</v>
      </c>
      <c r="DD25">
        <v>2</v>
      </c>
      <c r="DE25">
        <v>2</v>
      </c>
      <c r="DK25" s="15"/>
      <c r="DL25" s="15"/>
    </row>
    <row r="26" spans="2:116" ht="15.75" customHeight="1">
      <c r="B26" t="s">
        <v>146</v>
      </c>
      <c r="C26">
        <f>ROUNDDOWN($C$17/$C$10,0)</f>
        <v>12</v>
      </c>
      <c r="F26" s="26">
        <v>3</v>
      </c>
      <c r="G26" s="27">
        <f t="shared" si="20"/>
        <v>0</v>
      </c>
      <c r="H26" s="21">
        <f>IF(AND($F26&lt;=J$2,H24&gt;0),H24*$F26,0)</f>
        <v>24</v>
      </c>
      <c r="I26" s="19">
        <f>IF(H24&lt;$C$23,0,H26)</f>
        <v>24</v>
      </c>
      <c r="J26" s="20">
        <v>0</v>
      </c>
      <c r="K26" s="21" t="e">
        <f>IF(AND($F26&lt;=M$2,K24&gt;0),K24*$F26,0)</f>
        <v>#REF!</v>
      </c>
      <c r="L26" s="19" t="e">
        <f>IF(K24&lt;$C$23,0,K26)</f>
        <v>#REF!</v>
      </c>
      <c r="M26" s="21">
        <v>0</v>
      </c>
      <c r="N26" s="21" t="e">
        <f>IF(AND($F26&lt;=P$2,N24&gt;0),N24*$F26,0)</f>
        <v>#REF!</v>
      </c>
      <c r="O26" s="19" t="e">
        <f>IF(N24&lt;$C$23,0,N26)</f>
        <v>#REF!</v>
      </c>
      <c r="P26" s="21">
        <v>0</v>
      </c>
      <c r="Q26" s="21" t="e">
        <f>IF(AND($F26&lt;=S$2,Q24&gt;0),Q24*$F26,0)</f>
        <v>#REF!</v>
      </c>
      <c r="R26" s="19" t="e">
        <f>IF(Q24&lt;$C$23,0,Q26)</f>
        <v>#REF!</v>
      </c>
      <c r="S26" s="21">
        <v>0</v>
      </c>
      <c r="T26" s="21" t="e">
        <f>IF(AND($F26&lt;=V$2,T24&gt;0),T24*$F26,0)</f>
        <v>#REF!</v>
      </c>
      <c r="U26" s="19" t="e">
        <f>IF(T24&lt;$C$23,0,T26)</f>
        <v>#REF!</v>
      </c>
      <c r="V26" s="21">
        <v>0</v>
      </c>
      <c r="W26" s="21" t="e">
        <f>IF(AND($F26&lt;=Y$2,W24&gt;0),W24*$F26,0)</f>
        <v>#REF!</v>
      </c>
      <c r="X26" s="19" t="e">
        <f>IF(W24&lt;$C$23,0,W26)</f>
        <v>#REF!</v>
      </c>
      <c r="Y26" s="21">
        <v>0</v>
      </c>
      <c r="Z26" s="21" t="e">
        <f>IF(AND($F26&lt;=AB$2,Z24&gt;0),Z24*$F26,0)</f>
        <v>#REF!</v>
      </c>
      <c r="AA26" s="19" t="e">
        <f>IF(Z24&lt;$C$23,0,Z26)</f>
        <v>#REF!</v>
      </c>
      <c r="AB26" s="21">
        <v>0</v>
      </c>
      <c r="AC26" s="21" t="e">
        <f>IF(AND($F26&lt;=AE$2,AC24&gt;0),AC24*$F26,0)</f>
        <v>#REF!</v>
      </c>
      <c r="AD26" s="19" t="e">
        <f>IF(AC24&lt;$C$23,0,AC26)</f>
        <v>#REF!</v>
      </c>
      <c r="AE26" s="21">
        <v>0</v>
      </c>
      <c r="AF26" s="21" t="e">
        <f>IF(AND($F26&lt;=AH$2,AF24&gt;0),AF24*$F26,0)</f>
        <v>#REF!</v>
      </c>
      <c r="AG26" s="19" t="e">
        <f>IF(AF24&lt;$C$23,0,AF26)</f>
        <v>#REF!</v>
      </c>
      <c r="AH26" s="21">
        <v>0</v>
      </c>
      <c r="AI26" s="21" t="e">
        <f>IF(AND($F26&lt;=AK$2,AI24&gt;0),AI24*$F26,0)</f>
        <v>#REF!</v>
      </c>
      <c r="AJ26" s="19" t="e">
        <f>IF(AI24&lt;$C$23,0,AI26)</f>
        <v>#REF!</v>
      </c>
      <c r="AK26" s="21">
        <v>0</v>
      </c>
      <c r="AL26" s="21" t="e">
        <f>IF(AND($F26&lt;=AN$2,AL24&gt;0),AL24*$F26,0)</f>
        <v>#REF!</v>
      </c>
      <c r="AM26" s="19" t="e">
        <f>IF(AL24&lt;$C$23,0,AL26)</f>
        <v>#REF!</v>
      </c>
      <c r="AN26" s="21">
        <v>0</v>
      </c>
      <c r="AO26" s="21" t="e">
        <f>IF(AND($F26&lt;=AQ$2,AO24&gt;0),AO24*$F26,0)</f>
        <v>#REF!</v>
      </c>
      <c r="AP26" s="19" t="e">
        <f>IF(AO24&lt;$C$23,0,AO26)</f>
        <v>#REF!</v>
      </c>
      <c r="AQ26" s="21">
        <v>0</v>
      </c>
      <c r="AR26" s="21" t="e">
        <f>IF(AND($F26&lt;=AT$2,AR24&gt;0),AR24*$F26,0)</f>
        <v>#REF!</v>
      </c>
      <c r="AS26" s="19" t="e">
        <f>IF(AR24&lt;$C$23,0,AR26)</f>
        <v>#REF!</v>
      </c>
      <c r="AT26" s="21">
        <v>0</v>
      </c>
      <c r="AU26" s="21" t="e">
        <f>IF(AND($F26&lt;=AW$2,AU24&gt;0),AU24*$F26,0)</f>
        <v>#REF!</v>
      </c>
      <c r="AV26" s="19" t="e">
        <f>IF(AU24&lt;$C$23,0,AU26)</f>
        <v>#REF!</v>
      </c>
      <c r="AW26" s="21">
        <v>0</v>
      </c>
      <c r="AX26" s="21" t="e">
        <f>IF(AND($F26&lt;=AZ$2,AX24&gt;0),AX24*$F26,0)</f>
        <v>#REF!</v>
      </c>
      <c r="AY26" s="19" t="e">
        <f>IF(AX24&lt;$C$23,0,AX26)</f>
        <v>#REF!</v>
      </c>
      <c r="AZ26" s="21">
        <v>0</v>
      </c>
      <c r="BA26" s="22" t="e">
        <f t="shared" si="1"/>
        <v>#REF!</v>
      </c>
      <c r="BC26" s="40" t="s">
        <v>147</v>
      </c>
      <c r="BD26">
        <v>550</v>
      </c>
      <c r="BE26">
        <v>49.8</v>
      </c>
      <c r="BF26">
        <v>41.93</v>
      </c>
      <c r="BG26">
        <v>-0.28000000000000003</v>
      </c>
      <c r="BH26" s="12">
        <v>13.12</v>
      </c>
      <c r="BI26" s="12">
        <v>13.88</v>
      </c>
      <c r="BJ26" s="12"/>
      <c r="BK26" s="12"/>
      <c r="BM26" t="s">
        <v>148</v>
      </c>
      <c r="BN26">
        <v>15</v>
      </c>
      <c r="BO26">
        <v>24750</v>
      </c>
      <c r="BP26">
        <v>1000</v>
      </c>
      <c r="BQ26">
        <v>180</v>
      </c>
      <c r="BR26" s="39">
        <v>34.299999999999997</v>
      </c>
      <c r="BS26" s="33">
        <v>34.299999999999997</v>
      </c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4"/>
      <c r="CG26" s="33">
        <v>22</v>
      </c>
      <c r="CH26" s="33">
        <v>22</v>
      </c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4"/>
      <c r="CV26">
        <v>2</v>
      </c>
      <c r="CW26">
        <v>2</v>
      </c>
      <c r="DK26" s="25"/>
      <c r="DL26" s="25"/>
    </row>
    <row r="27" spans="2:116" ht="15.75" customHeight="1">
      <c r="B27" t="s">
        <v>149</v>
      </c>
      <c r="C27">
        <f>ROUNDDOWN($C$16/$C$3,0)</f>
        <v>50</v>
      </c>
      <c r="F27" s="26">
        <v>4</v>
      </c>
      <c r="G27" s="27">
        <f t="shared" si="20"/>
        <v>0</v>
      </c>
      <c r="H27" s="21">
        <f>IF(AND($F27&lt;=J$2,H24&gt;0),H24*$F27,0)</f>
        <v>32</v>
      </c>
      <c r="I27" s="19">
        <f>IF(H24&lt;$C$23,0,H27)</f>
        <v>32</v>
      </c>
      <c r="J27" s="20">
        <v>0</v>
      </c>
      <c r="K27" s="21" t="e">
        <f>IF(AND($F27&lt;=M$2,K24&gt;0),K24*$F27,0)</f>
        <v>#REF!</v>
      </c>
      <c r="L27" s="19" t="e">
        <f>IF(K24&lt;$C$23,0,K27)</f>
        <v>#REF!</v>
      </c>
      <c r="M27" s="21">
        <v>0</v>
      </c>
      <c r="N27" s="21" t="e">
        <f>IF(AND($F27&lt;=P$2,N24&gt;0),N24*$F27,0)</f>
        <v>#REF!</v>
      </c>
      <c r="O27" s="19" t="e">
        <f>IF(N24&lt;$C$23,0,N27)</f>
        <v>#REF!</v>
      </c>
      <c r="P27" s="21">
        <v>0</v>
      </c>
      <c r="Q27" s="21" t="e">
        <f>IF(AND($F27&lt;=S$2,Q24&gt;0),Q24*$F27,0)</f>
        <v>#REF!</v>
      </c>
      <c r="R27" s="19" t="e">
        <f>IF(Q24&lt;$C$23,0,Q27)</f>
        <v>#REF!</v>
      </c>
      <c r="S27" s="21">
        <v>0</v>
      </c>
      <c r="T27" s="21" t="e">
        <f>IF(AND($F27&lt;=V$2,T24&gt;0),T24*$F27,0)</f>
        <v>#REF!</v>
      </c>
      <c r="U27" s="19" t="e">
        <f>IF(T24&lt;$C$23,0,T27)</f>
        <v>#REF!</v>
      </c>
      <c r="V27" s="21">
        <v>0</v>
      </c>
      <c r="W27" s="21" t="e">
        <f>IF(AND($F27&lt;=Y$2,W24&gt;0),W24*$F27,0)</f>
        <v>#REF!</v>
      </c>
      <c r="X27" s="19" t="e">
        <f>IF(W24&lt;$C$23,0,W27)</f>
        <v>#REF!</v>
      </c>
      <c r="Y27" s="21">
        <v>0</v>
      </c>
      <c r="Z27" s="21" t="e">
        <f>IF(AND($F27&lt;=AB$2,Z24&gt;0),Z24*$F27,0)</f>
        <v>#REF!</v>
      </c>
      <c r="AA27" s="19" t="e">
        <f>IF(Z24&lt;$C$23,0,Z27)</f>
        <v>#REF!</v>
      </c>
      <c r="AB27" s="21">
        <v>0</v>
      </c>
      <c r="AC27" s="21" t="e">
        <f>IF(AND($F27&lt;=AE$2,AC24&gt;0),AC24*$F27,0)</f>
        <v>#REF!</v>
      </c>
      <c r="AD27" s="19" t="e">
        <f>IF(AC24&lt;$C$23,0,AC27)</f>
        <v>#REF!</v>
      </c>
      <c r="AE27" s="21">
        <v>0</v>
      </c>
      <c r="AF27" s="21" t="e">
        <f>IF(AND($F27&lt;=AH$2,AF24&gt;0),AF24*$F27,0)</f>
        <v>#REF!</v>
      </c>
      <c r="AG27" s="19" t="e">
        <f>IF(AF24&lt;$C$23,0,AF27)</f>
        <v>#REF!</v>
      </c>
      <c r="AH27" s="21">
        <v>0</v>
      </c>
      <c r="AI27" s="21" t="e">
        <f>IF(AND($F27&lt;=AK$2,AI24&gt;0),AI24*$F27,0)</f>
        <v>#REF!</v>
      </c>
      <c r="AJ27" s="19" t="e">
        <f>IF(AI24&lt;$C$23,0,AI27)</f>
        <v>#REF!</v>
      </c>
      <c r="AK27" s="21">
        <v>0</v>
      </c>
      <c r="AL27" s="21" t="e">
        <f>IF(AND($F27&lt;=AN$2,AL24&gt;0),AL24*$F27,0)</f>
        <v>#REF!</v>
      </c>
      <c r="AM27" s="19" t="e">
        <f>IF(AL24&lt;$C$23,0,AL27)</f>
        <v>#REF!</v>
      </c>
      <c r="AN27" s="21">
        <v>0</v>
      </c>
      <c r="AO27" s="21" t="e">
        <f>IF(AND($F27&lt;=AQ$2,AO24&gt;0),AO24*$F27,0)</f>
        <v>#REF!</v>
      </c>
      <c r="AP27" s="19" t="e">
        <f>IF(AO24&lt;$C$23,0,AO27)</f>
        <v>#REF!</v>
      </c>
      <c r="AQ27" s="21">
        <v>0</v>
      </c>
      <c r="AR27" s="21" t="e">
        <f>IF(AND($F27&lt;=AT$2,AR24&gt;0),AR24*$F27,0)</f>
        <v>#REF!</v>
      </c>
      <c r="AS27" s="19" t="e">
        <f>IF(AR24&lt;$C$23,0,AR27)</f>
        <v>#REF!</v>
      </c>
      <c r="AT27" s="21">
        <v>0</v>
      </c>
      <c r="AU27" s="21" t="e">
        <f>IF(AND($F27&lt;=AW$2,AU24&gt;0),AU24*$F27,0)</f>
        <v>#REF!</v>
      </c>
      <c r="AV27" s="19" t="e">
        <f>IF(AU24&lt;$C$23,0,AU27)</f>
        <v>#REF!</v>
      </c>
      <c r="AW27" s="21">
        <v>0</v>
      </c>
      <c r="AX27" s="21" t="e">
        <f>IF(AND($F27&lt;=AZ$2,AX24&gt;0),AX24*$F27,0)</f>
        <v>#REF!</v>
      </c>
      <c r="AY27" s="19" t="e">
        <f>IF(AX24&lt;$C$23,0,AX27)</f>
        <v>#REF!</v>
      </c>
      <c r="AZ27" s="21">
        <v>0</v>
      </c>
      <c r="BA27" s="22" t="e">
        <f t="shared" si="1"/>
        <v>#REF!</v>
      </c>
      <c r="BC27" t="s">
        <v>150</v>
      </c>
      <c r="BD27">
        <v>550</v>
      </c>
      <c r="BE27">
        <v>49.6</v>
      </c>
      <c r="BF27">
        <v>41.7</v>
      </c>
      <c r="BG27">
        <v>-0.26</v>
      </c>
      <c r="BH27" s="12"/>
      <c r="BI27" s="12"/>
      <c r="BJ27" s="12"/>
      <c r="BK27" s="12"/>
      <c r="BM27" t="s">
        <v>151</v>
      </c>
      <c r="BN27">
        <v>20</v>
      </c>
      <c r="BO27">
        <v>33000</v>
      </c>
      <c r="BP27">
        <v>1000</v>
      </c>
      <c r="BQ27">
        <v>180</v>
      </c>
      <c r="BR27" s="39">
        <v>34.299999999999997</v>
      </c>
      <c r="BS27" s="33">
        <v>34.299999999999997</v>
      </c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4"/>
      <c r="CG27" s="33">
        <v>22</v>
      </c>
      <c r="CH27" s="33">
        <v>22</v>
      </c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4"/>
      <c r="CV27">
        <v>2</v>
      </c>
      <c r="CW27">
        <v>2</v>
      </c>
      <c r="DK27" s="15"/>
      <c r="DL27" s="15"/>
    </row>
    <row r="28" spans="2:116" ht="15.75" customHeight="1">
      <c r="C28">
        <f>ROUNDDOWN($C$18/$C$12,0)</f>
        <v>1</v>
      </c>
      <c r="F28" s="26">
        <v>5</v>
      </c>
      <c r="G28" s="27">
        <f t="shared" si="20"/>
        <v>0</v>
      </c>
      <c r="H28" s="21">
        <f>IF(AND($F28&lt;=J$2,H24&gt;0),H24*$F28,0)</f>
        <v>40</v>
      </c>
      <c r="I28" s="19">
        <f>IF(H24&lt;$C$23,0,H28)</f>
        <v>40</v>
      </c>
      <c r="J28" s="20">
        <v>0</v>
      </c>
      <c r="K28" s="21" t="e">
        <f>IF(AND($F28&lt;=M$2,K24&gt;0),K24*$F28,0)</f>
        <v>#REF!</v>
      </c>
      <c r="L28" s="19" t="e">
        <f>IF(K24&lt;$C$23,0,K28)</f>
        <v>#REF!</v>
      </c>
      <c r="M28" s="21">
        <v>0</v>
      </c>
      <c r="N28" s="21" t="e">
        <f>IF(AND($F28&lt;=P$2,N24&gt;0),N24*$F28,0)</f>
        <v>#REF!</v>
      </c>
      <c r="O28" s="19" t="e">
        <f>IF(N24&lt;$C$23,0,N28)</f>
        <v>#REF!</v>
      </c>
      <c r="P28" s="21">
        <v>0</v>
      </c>
      <c r="Q28" s="21" t="e">
        <f>IF(AND($F28&lt;=S$2,Q24&gt;0),Q24*$F28,0)</f>
        <v>#REF!</v>
      </c>
      <c r="R28" s="19" t="e">
        <f>IF(Q24&lt;$C$23,0,Q28)</f>
        <v>#REF!</v>
      </c>
      <c r="S28" s="21">
        <v>0</v>
      </c>
      <c r="T28" s="21" t="e">
        <f>IF(AND($F28&lt;=V$2,T24&gt;0),T24*$F28,0)</f>
        <v>#REF!</v>
      </c>
      <c r="U28" s="19" t="e">
        <f>IF(T24&lt;$C$23,0,T28)</f>
        <v>#REF!</v>
      </c>
      <c r="V28" s="21">
        <v>0</v>
      </c>
      <c r="W28" s="21" t="e">
        <f>IF(AND($F28&lt;=Y$2,W24&gt;0),W24*$F28,0)</f>
        <v>#REF!</v>
      </c>
      <c r="X28" s="19" t="e">
        <f>IF(W24&lt;$C$23,0,W28)</f>
        <v>#REF!</v>
      </c>
      <c r="Y28" s="21">
        <v>0</v>
      </c>
      <c r="Z28" s="21" t="e">
        <f>IF(AND($F28&lt;=AB$2,Z24&gt;0),Z24*$F28,0)</f>
        <v>#REF!</v>
      </c>
      <c r="AA28" s="19" t="e">
        <f>IF(Z24&lt;$C$23,0,Z28)</f>
        <v>#REF!</v>
      </c>
      <c r="AB28" s="21">
        <v>0</v>
      </c>
      <c r="AC28" s="21" t="e">
        <f>IF(AND($F28&lt;=AE$2,AC24&gt;0),AC24*$F28,0)</f>
        <v>#REF!</v>
      </c>
      <c r="AD28" s="19" t="e">
        <f>IF(AC24&lt;$C$23,0,AC28)</f>
        <v>#REF!</v>
      </c>
      <c r="AE28" s="21">
        <v>0</v>
      </c>
      <c r="AF28" s="21" t="e">
        <f>IF(AND($F28&lt;=AH$2,AF24&gt;0),AF24*$F28,0)</f>
        <v>#REF!</v>
      </c>
      <c r="AG28" s="19" t="e">
        <f>IF(AF24&lt;$C$23,0,AF28)</f>
        <v>#REF!</v>
      </c>
      <c r="AH28" s="21">
        <v>0</v>
      </c>
      <c r="AI28" s="21" t="e">
        <f>IF(AND($F28&lt;=AK$2,AI24&gt;0),AI24*$F28,0)</f>
        <v>#REF!</v>
      </c>
      <c r="AJ28" s="19" t="e">
        <f>IF(AI24&lt;$C$23,0,AI28)</f>
        <v>#REF!</v>
      </c>
      <c r="AK28" s="21">
        <v>0</v>
      </c>
      <c r="AL28" s="21" t="e">
        <f>IF(AND($F28&lt;=AN$2,AL24&gt;0),AL24*$F28,0)</f>
        <v>#REF!</v>
      </c>
      <c r="AM28" s="19" t="e">
        <f>IF(AL24&lt;$C$23,0,AL28)</f>
        <v>#REF!</v>
      </c>
      <c r="AN28" s="21">
        <v>0</v>
      </c>
      <c r="AO28" s="21" t="e">
        <f>IF(AND($F28&lt;=AQ$2,AO24&gt;0),AO24*$F28,0)</f>
        <v>#REF!</v>
      </c>
      <c r="AP28" s="19" t="e">
        <f>IF(AO24&lt;$C$23,0,AO28)</f>
        <v>#REF!</v>
      </c>
      <c r="AQ28" s="21">
        <v>0</v>
      </c>
      <c r="AR28" s="21" t="e">
        <f>IF(AND($F28&lt;=AT$2,AR24&gt;0),AR24*$F28,0)</f>
        <v>#REF!</v>
      </c>
      <c r="AS28" s="19" t="e">
        <f>IF(AR24&lt;$C$23,0,AR28)</f>
        <v>#REF!</v>
      </c>
      <c r="AT28" s="21">
        <v>0</v>
      </c>
      <c r="AU28" s="21" t="e">
        <f>IF(AND($F28&lt;=AW$2,AU24&gt;0),AU24*$F28,0)</f>
        <v>#REF!</v>
      </c>
      <c r="AV28" s="19" t="e">
        <f>IF(AU24&lt;$C$23,0,AU28)</f>
        <v>#REF!</v>
      </c>
      <c r="AW28" s="21">
        <v>0</v>
      </c>
      <c r="AX28" s="21" t="e">
        <f>IF(AND($F28&lt;=AZ$2,AX24&gt;0),AX24*$F28,0)</f>
        <v>#REF!</v>
      </c>
      <c r="AY28" s="19" t="e">
        <f>IF(AX24&lt;$C$23,0,AX28)</f>
        <v>#REF!</v>
      </c>
      <c r="AZ28" s="21">
        <v>0</v>
      </c>
      <c r="BA28" s="22" t="e">
        <f t="shared" si="1"/>
        <v>#REF!</v>
      </c>
      <c r="BC28" t="s">
        <v>152</v>
      </c>
      <c r="BD28">
        <v>550</v>
      </c>
      <c r="BE28">
        <v>50.2</v>
      </c>
      <c r="BF28">
        <v>42.4</v>
      </c>
      <c r="BG28">
        <v>-0.31</v>
      </c>
      <c r="BH28" s="12">
        <v>12.97</v>
      </c>
      <c r="BI28" s="12">
        <v>13.78</v>
      </c>
      <c r="BJ28" s="12"/>
      <c r="BK28" s="12"/>
      <c r="BM28" t="s">
        <v>153</v>
      </c>
      <c r="BN28">
        <v>20</v>
      </c>
      <c r="BO28">
        <v>30000</v>
      </c>
      <c r="BP28">
        <v>1000</v>
      </c>
      <c r="BQ28">
        <v>350</v>
      </c>
      <c r="BR28" s="39">
        <v>28.1</v>
      </c>
      <c r="BS28" s="33">
        <v>28.1</v>
      </c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4"/>
      <c r="CG28" s="33">
        <v>20</v>
      </c>
      <c r="CH28" s="33">
        <v>20</v>
      </c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4"/>
      <c r="CV28">
        <v>2</v>
      </c>
      <c r="CW28">
        <v>2</v>
      </c>
      <c r="DK28" s="25"/>
      <c r="DL28" s="25"/>
    </row>
    <row r="29" spans="2:116" ht="15.75" customHeight="1">
      <c r="F29" s="26">
        <v>1</v>
      </c>
      <c r="G29" s="27">
        <f t="shared" ref="G29:G33" si="21">IF(OR(J29&lt;&gt;0,M29&lt;&gt;0,P29&lt;&gt;0,S29&lt;&gt;0,V29&lt;&gt;0,Y29&lt;&gt;0,AB29&lt;&gt;0,AE29&lt;&gt;0,AH29&lt;&gt;0,AK29&lt;&gt;0,AN29&lt;&gt;0,AQ29&lt;&gt;0,AT29&lt;&gt;0,AW29&lt;&gt;0,AZ29&lt;&gt;0),$C$26-5,0)</f>
        <v>0</v>
      </c>
      <c r="H29" s="21">
        <f>IF(AND($F29&lt;=J$2,H24&gt;0),H24-1,0)</f>
        <v>7</v>
      </c>
      <c r="I29" s="19">
        <f>IF(H29&lt;$C$23,0,H29)</f>
        <v>7</v>
      </c>
      <c r="J29" s="20">
        <v>0</v>
      </c>
      <c r="K29" s="21" t="e">
        <f>IF(AND($F29&lt;=M$2,K24&gt;0),K24-1,0)</f>
        <v>#REF!</v>
      </c>
      <c r="L29" s="19" t="e">
        <f>IF(K29&lt;$C$23,0,K29)</f>
        <v>#REF!</v>
      </c>
      <c r="M29" s="21">
        <v>0</v>
      </c>
      <c r="N29" s="21" t="e">
        <f>IF(AND($F29&lt;=P$2,N24&gt;0),N24-1,0)</f>
        <v>#REF!</v>
      </c>
      <c r="O29" s="19" t="e">
        <f>IF(N29&lt;$C$23,0,N29)</f>
        <v>#REF!</v>
      </c>
      <c r="P29" s="21">
        <v>0</v>
      </c>
      <c r="Q29" s="21" t="e">
        <f>IF(AND($F29&lt;=S$2,Q24&gt;0),Q24-1,0)</f>
        <v>#REF!</v>
      </c>
      <c r="R29" s="19" t="e">
        <f>IF(Q29&lt;$C$23,0,Q29)</f>
        <v>#REF!</v>
      </c>
      <c r="S29" s="21">
        <v>0</v>
      </c>
      <c r="T29" s="21" t="e">
        <f>IF(AND($F29&lt;=V$2,T24&gt;0),T24-1,0)</f>
        <v>#REF!</v>
      </c>
      <c r="U29" s="19" t="e">
        <f>IF(T29&lt;$C$23,0,T29)</f>
        <v>#REF!</v>
      </c>
      <c r="V29" s="21">
        <v>0</v>
      </c>
      <c r="W29" s="21" t="e">
        <f>IF(AND($F29&lt;=Y$2,W24&gt;0),W24-1,0)</f>
        <v>#REF!</v>
      </c>
      <c r="X29" s="19" t="e">
        <f>IF(W29&lt;$C$23,0,W29)</f>
        <v>#REF!</v>
      </c>
      <c r="Y29" s="21">
        <v>0</v>
      </c>
      <c r="Z29" s="21" t="e">
        <f>IF(AND($F29&lt;=AB$2,Z24&gt;0),Z24-1,0)</f>
        <v>#REF!</v>
      </c>
      <c r="AA29" s="19" t="e">
        <f>IF(Z29&lt;$C$23,0,Z29)</f>
        <v>#REF!</v>
      </c>
      <c r="AB29" s="21">
        <v>0</v>
      </c>
      <c r="AC29" s="21" t="e">
        <f>IF(AND($F29&lt;=AE$2,AC24&gt;0),AC24-1,0)</f>
        <v>#REF!</v>
      </c>
      <c r="AD29" s="19" t="e">
        <f>IF(AC29&lt;$C$23,0,AC29)</f>
        <v>#REF!</v>
      </c>
      <c r="AE29" s="21">
        <v>0</v>
      </c>
      <c r="AF29" s="21" t="e">
        <f>IF(AND($F29&lt;=AH$2,AF24&gt;0),AF24-1,0)</f>
        <v>#REF!</v>
      </c>
      <c r="AG29" s="19" t="e">
        <f>IF(AF29&lt;$C$23,0,AF29)</f>
        <v>#REF!</v>
      </c>
      <c r="AH29" s="21">
        <v>0</v>
      </c>
      <c r="AI29" s="21" t="e">
        <f>IF(AND($F29&lt;=AK$2,AI24&gt;0),AI24-1,0)</f>
        <v>#REF!</v>
      </c>
      <c r="AJ29" s="19" t="e">
        <f>IF(AI29&lt;$C$23,0,AI29)</f>
        <v>#REF!</v>
      </c>
      <c r="AK29" s="21">
        <v>0</v>
      </c>
      <c r="AL29" s="21" t="e">
        <f>IF(AND($F29&lt;=AN$2,AL24&gt;0),AL24-1,0)</f>
        <v>#REF!</v>
      </c>
      <c r="AM29" s="19" t="e">
        <f>IF(AL29&lt;$C$23,0,AL29)</f>
        <v>#REF!</v>
      </c>
      <c r="AN29" s="21">
        <v>0</v>
      </c>
      <c r="AO29" s="21" t="e">
        <f>IF(AND($F29&lt;=AQ$2,AO24&gt;0),AO24-1,0)</f>
        <v>#REF!</v>
      </c>
      <c r="AP29" s="19" t="e">
        <f>IF(AO29&lt;$C$23,0,AO29)</f>
        <v>#REF!</v>
      </c>
      <c r="AQ29" s="21">
        <v>0</v>
      </c>
      <c r="AR29" s="21" t="e">
        <f>IF(AND($F29&lt;=AT$2,AR24&gt;0),AR24-1,0)</f>
        <v>#REF!</v>
      </c>
      <c r="AS29" s="19" t="e">
        <f>IF(AR29&lt;$C$23,0,AR29)</f>
        <v>#REF!</v>
      </c>
      <c r="AT29" s="21">
        <v>0</v>
      </c>
      <c r="AU29" s="21" t="e">
        <f>IF(AND($F29&lt;=AW$2,AU24&gt;0),AU24-1,0)</f>
        <v>#REF!</v>
      </c>
      <c r="AV29" s="19" t="e">
        <f>IF(AU29&lt;$C$23,0,AU29)</f>
        <v>#REF!</v>
      </c>
      <c r="AW29" s="21">
        <v>0</v>
      </c>
      <c r="AX29" s="21" t="e">
        <f>IF(AND($F29&lt;=AZ$2,AX24&gt;0),AX24-1,0)</f>
        <v>#REF!</v>
      </c>
      <c r="AY29" s="19" t="e">
        <f>IF(AX29&lt;$C$23,0,AX29)</f>
        <v>#REF!</v>
      </c>
      <c r="AZ29" s="21">
        <v>0</v>
      </c>
      <c r="BA29" s="22" t="e">
        <f t="shared" si="1"/>
        <v>#REF!</v>
      </c>
      <c r="BC29" t="s">
        <v>154</v>
      </c>
      <c r="BD29" s="12">
        <v>610</v>
      </c>
      <c r="BE29" s="12">
        <v>48.2</v>
      </c>
      <c r="BF29" s="12">
        <v>40.9</v>
      </c>
      <c r="BG29" s="12">
        <v>-0.25</v>
      </c>
      <c r="BH29" s="12">
        <v>14.91</v>
      </c>
      <c r="BI29" s="12">
        <v>15.88</v>
      </c>
      <c r="BJ29" s="12"/>
      <c r="BK29" s="12"/>
      <c r="BM29" t="s">
        <v>155</v>
      </c>
      <c r="BN29">
        <v>250</v>
      </c>
      <c r="BO29">
        <v>500000</v>
      </c>
      <c r="BP29">
        <v>1500</v>
      </c>
      <c r="BQ29">
        <v>880</v>
      </c>
      <c r="BR29" s="13">
        <v>60</v>
      </c>
      <c r="BS29">
        <v>60</v>
      </c>
      <c r="BT29">
        <v>60</v>
      </c>
      <c r="BU29">
        <v>60</v>
      </c>
      <c r="BV29">
        <v>60</v>
      </c>
      <c r="BW29">
        <v>60</v>
      </c>
      <c r="BX29">
        <v>60</v>
      </c>
      <c r="BY29">
        <v>60</v>
      </c>
      <c r="BZ29">
        <v>60</v>
      </c>
      <c r="CA29">
        <v>60</v>
      </c>
      <c r="CB29">
        <v>60</v>
      </c>
      <c r="CC29">
        <v>60</v>
      </c>
      <c r="CF29" s="14"/>
      <c r="CG29">
        <v>40</v>
      </c>
      <c r="CH29">
        <v>40</v>
      </c>
      <c r="CI29">
        <v>40</v>
      </c>
      <c r="CJ29">
        <v>40</v>
      </c>
      <c r="CK29">
        <v>40</v>
      </c>
      <c r="CL29">
        <v>40</v>
      </c>
      <c r="CM29">
        <v>40</v>
      </c>
      <c r="CN29">
        <v>40</v>
      </c>
      <c r="CO29">
        <v>40</v>
      </c>
      <c r="CP29">
        <v>40</v>
      </c>
      <c r="CQ29">
        <v>40</v>
      </c>
      <c r="CR29">
        <v>40</v>
      </c>
      <c r="CU29" s="14"/>
      <c r="CV29">
        <v>2</v>
      </c>
      <c r="CW29">
        <v>2</v>
      </c>
      <c r="CX29">
        <v>2</v>
      </c>
      <c r="CY29">
        <v>2</v>
      </c>
      <c r="CZ29">
        <v>2</v>
      </c>
      <c r="DA29">
        <v>2</v>
      </c>
      <c r="DB29">
        <v>2</v>
      </c>
      <c r="DC29">
        <v>2</v>
      </c>
      <c r="DD29">
        <v>2</v>
      </c>
      <c r="DE29">
        <v>2</v>
      </c>
      <c r="DF29">
        <v>2</v>
      </c>
      <c r="DG29">
        <v>2</v>
      </c>
      <c r="DK29" s="15"/>
      <c r="DL29" s="15"/>
    </row>
    <row r="30" spans="2:116" ht="15.75" customHeight="1">
      <c r="F30" s="26">
        <v>2</v>
      </c>
      <c r="G30" s="27">
        <f t="shared" si="21"/>
        <v>0</v>
      </c>
      <c r="H30" s="21">
        <f>IF(AND($F30&lt;=J$2,H29&gt;0),H29*$F30,0)</f>
        <v>14</v>
      </c>
      <c r="I30" s="19">
        <f>IF(H29&lt;$C$23,0,H30)</f>
        <v>14</v>
      </c>
      <c r="J30" s="20">
        <v>0</v>
      </c>
      <c r="K30" s="21" t="e">
        <f>IF(AND($F30&lt;=M$2,K29&gt;0),K29*$F30,0)</f>
        <v>#REF!</v>
      </c>
      <c r="L30" s="19" t="e">
        <f>IF(K29&lt;$C$23,0,K30)</f>
        <v>#REF!</v>
      </c>
      <c r="M30" s="21">
        <v>0</v>
      </c>
      <c r="N30" s="21" t="e">
        <f>IF(AND($F30&lt;=P$2,N29&gt;0),N29*$F30,0)</f>
        <v>#REF!</v>
      </c>
      <c r="O30" s="19" t="e">
        <f>IF(N29&lt;$C$23,0,N30)</f>
        <v>#REF!</v>
      </c>
      <c r="P30" s="21">
        <v>0</v>
      </c>
      <c r="Q30" s="21" t="e">
        <f>IF(AND($F30&lt;=S$2,Q29&gt;0),Q29*$F30,0)</f>
        <v>#REF!</v>
      </c>
      <c r="R30" s="19" t="e">
        <f>IF(Q29&lt;$C$23,0,Q30)</f>
        <v>#REF!</v>
      </c>
      <c r="S30" s="21">
        <v>0</v>
      </c>
      <c r="T30" s="21" t="e">
        <f>IF(AND($F30&lt;=V$2,T29&gt;0),T29*$F30,0)</f>
        <v>#REF!</v>
      </c>
      <c r="U30" s="19" t="e">
        <f>IF(T29&lt;$C$23,0,T30)</f>
        <v>#REF!</v>
      </c>
      <c r="V30" s="21">
        <v>0</v>
      </c>
      <c r="W30" s="21" t="e">
        <f>IF(AND($F30&lt;=Y$2,W29&gt;0),W29*$F30,0)</f>
        <v>#REF!</v>
      </c>
      <c r="X30" s="19" t="e">
        <f>IF(W29&lt;$C$23,0,W30)</f>
        <v>#REF!</v>
      </c>
      <c r="Y30" s="21">
        <v>0</v>
      </c>
      <c r="Z30" s="21" t="e">
        <f>IF(AND($F30&lt;=AB$2,Z29&gt;0),Z29*$F30,0)</f>
        <v>#REF!</v>
      </c>
      <c r="AA30" s="19" t="e">
        <f>IF(Z29&lt;$C$23,0,Z30)</f>
        <v>#REF!</v>
      </c>
      <c r="AB30" s="21">
        <v>0</v>
      </c>
      <c r="AC30" s="21" t="e">
        <f>IF(AND($F30&lt;=AE$2,AC29&gt;0),AC29*$F30,0)</f>
        <v>#REF!</v>
      </c>
      <c r="AD30" s="19" t="e">
        <f>IF(AC29&lt;$C$23,0,AC30)</f>
        <v>#REF!</v>
      </c>
      <c r="AE30" s="21">
        <v>0</v>
      </c>
      <c r="AF30" s="21" t="e">
        <f>IF(AND($F30&lt;=AH$2,AF29&gt;0),AF29*$F30,0)</f>
        <v>#REF!</v>
      </c>
      <c r="AG30" s="19" t="e">
        <f>IF(AF29&lt;$C$23,0,AF30)</f>
        <v>#REF!</v>
      </c>
      <c r="AH30" s="21">
        <v>0</v>
      </c>
      <c r="AI30" s="21" t="e">
        <f>IF(AND($F30&lt;=AK$2,AI29&gt;0),AI29*$F30,0)</f>
        <v>#REF!</v>
      </c>
      <c r="AJ30" s="19" t="e">
        <f>IF(AI29&lt;$C$23,0,AI30)</f>
        <v>#REF!</v>
      </c>
      <c r="AK30" s="21">
        <v>0</v>
      </c>
      <c r="AL30" s="21" t="e">
        <f>IF(AND($F30&lt;=AN$2,AL29&gt;0),AL29*$F30,0)</f>
        <v>#REF!</v>
      </c>
      <c r="AM30" s="19" t="e">
        <f>IF(AL29&lt;$C$23,0,AL30)</f>
        <v>#REF!</v>
      </c>
      <c r="AN30" s="21">
        <v>0</v>
      </c>
      <c r="AO30" s="21" t="e">
        <f>IF(AND($F30&lt;=AQ$2,AO29&gt;0),AO29*$F30,0)</f>
        <v>#REF!</v>
      </c>
      <c r="AP30" s="19" t="e">
        <f>IF(AO29&lt;$C$23,0,AO30)</f>
        <v>#REF!</v>
      </c>
      <c r="AQ30" s="21">
        <v>0</v>
      </c>
      <c r="AR30" s="21" t="e">
        <f>IF(AND($F30&lt;=AT$2,AR29&gt;0),AR29*$F30,0)</f>
        <v>#REF!</v>
      </c>
      <c r="AS30" s="19" t="e">
        <f>IF(AR29&lt;$C$23,0,AR30)</f>
        <v>#REF!</v>
      </c>
      <c r="AT30" s="21">
        <v>0</v>
      </c>
      <c r="AU30" s="21" t="e">
        <f>IF(AND($F30&lt;=AW$2,AU29&gt;0),AU29*$F30,0)</f>
        <v>#REF!</v>
      </c>
      <c r="AV30" s="19" t="e">
        <f>IF(AU29&lt;$C$23,0,AU30)</f>
        <v>#REF!</v>
      </c>
      <c r="AW30" s="21">
        <v>0</v>
      </c>
      <c r="AX30" s="21" t="e">
        <f>IF(AND($F30&lt;=AZ$2,AX29&gt;0),AX29*$F30,0)</f>
        <v>#REF!</v>
      </c>
      <c r="AY30" s="19" t="e">
        <f>IF(AX29&lt;$C$23,0,AX30)</f>
        <v>#REF!</v>
      </c>
      <c r="AZ30" s="21">
        <v>0</v>
      </c>
      <c r="BA30" s="22" t="e">
        <f t="shared" si="1"/>
        <v>#REF!</v>
      </c>
      <c r="BC30" s="12" t="s">
        <v>156</v>
      </c>
      <c r="BD30" s="12">
        <v>700</v>
      </c>
      <c r="BE30" s="12">
        <v>50.26</v>
      </c>
      <c r="BF30" s="12">
        <v>42.14</v>
      </c>
      <c r="BG30" s="12">
        <v>-0.24</v>
      </c>
      <c r="BH30" s="12">
        <v>16.61</v>
      </c>
      <c r="BI30" s="12">
        <v>17.39</v>
      </c>
      <c r="BJ30" s="12"/>
      <c r="BK30" s="12"/>
      <c r="BM30" t="s">
        <v>157</v>
      </c>
      <c r="BN30">
        <v>25</v>
      </c>
      <c r="BO30">
        <v>37500</v>
      </c>
      <c r="BP30">
        <v>1100</v>
      </c>
      <c r="BQ30">
        <v>195</v>
      </c>
      <c r="BR30" s="39">
        <v>50</v>
      </c>
      <c r="BS30" s="33">
        <f t="shared" ref="BS30:BS39" si="22">BR30</f>
        <v>50</v>
      </c>
      <c r="BT30" s="33">
        <f t="shared" ref="BT30:BT33" si="23">BS30</f>
        <v>50</v>
      </c>
      <c r="BU30" s="33">
        <f>BT30</f>
        <v>50</v>
      </c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4"/>
      <c r="CG30" s="33">
        <v>32</v>
      </c>
      <c r="CH30" s="33">
        <v>32</v>
      </c>
      <c r="CI30" s="33">
        <v>32</v>
      </c>
      <c r="CJ30" s="33">
        <v>32</v>
      </c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4"/>
      <c r="CV30">
        <v>2</v>
      </c>
      <c r="CW30">
        <v>2</v>
      </c>
      <c r="CX30">
        <v>2</v>
      </c>
      <c r="CY30">
        <v>2</v>
      </c>
      <c r="DK30" s="25"/>
      <c r="DL30" s="25"/>
    </row>
    <row r="31" spans="2:116" ht="15.75" customHeight="1">
      <c r="F31" s="26">
        <v>3</v>
      </c>
      <c r="G31" s="27">
        <f t="shared" si="21"/>
        <v>0</v>
      </c>
      <c r="H31" s="21">
        <f>IF(AND($F31&lt;=J$2,H29&gt;0),H29*$F31,0)</f>
        <v>21</v>
      </c>
      <c r="I31" s="19">
        <f>IF(H29&lt;$C$23,0,H31)</f>
        <v>21</v>
      </c>
      <c r="J31" s="20">
        <v>0</v>
      </c>
      <c r="K31" s="21" t="e">
        <f>IF(AND($F31&lt;=M$2,K29&gt;0),K29*$F31,0)</f>
        <v>#REF!</v>
      </c>
      <c r="L31" s="19" t="e">
        <f>IF(K29&lt;$C$23,0,K31)</f>
        <v>#REF!</v>
      </c>
      <c r="M31" s="21">
        <v>0</v>
      </c>
      <c r="N31" s="21" t="e">
        <f>IF(AND($F31&lt;=P$2,N29&gt;0),N29*$F31,0)</f>
        <v>#REF!</v>
      </c>
      <c r="O31" s="19" t="e">
        <f>IF(N29&lt;$C$23,0,N31)</f>
        <v>#REF!</v>
      </c>
      <c r="P31" s="21">
        <v>0</v>
      </c>
      <c r="Q31" s="21" t="e">
        <f>IF(AND($F31&lt;=S$2,Q29&gt;0),Q29*$F31,0)</f>
        <v>#REF!</v>
      </c>
      <c r="R31" s="19" t="e">
        <f>IF(Q29&lt;$C$23,0,Q31)</f>
        <v>#REF!</v>
      </c>
      <c r="S31" s="21">
        <v>0</v>
      </c>
      <c r="T31" s="21" t="e">
        <f>IF(AND($F31&lt;=V$2,T29&gt;0),T29*$F31,0)</f>
        <v>#REF!</v>
      </c>
      <c r="U31" s="19" t="e">
        <f>IF(T29&lt;$C$23,0,T31)</f>
        <v>#REF!</v>
      </c>
      <c r="V31" s="21">
        <v>0</v>
      </c>
      <c r="W31" s="21" t="e">
        <f>IF(AND($F31&lt;=Y$2,W29&gt;0),W29*$F31,0)</f>
        <v>#REF!</v>
      </c>
      <c r="X31" s="19" t="e">
        <f>IF(W29&lt;$C$23,0,W31)</f>
        <v>#REF!</v>
      </c>
      <c r="Y31" s="21">
        <v>0</v>
      </c>
      <c r="Z31" s="21" t="e">
        <f>IF(AND($F31&lt;=AB$2,Z29&gt;0),Z29*$F31,0)</f>
        <v>#REF!</v>
      </c>
      <c r="AA31" s="19" t="e">
        <f>IF(Z29&lt;$C$23,0,Z31)</f>
        <v>#REF!</v>
      </c>
      <c r="AB31" s="21">
        <v>0</v>
      </c>
      <c r="AC31" s="21" t="e">
        <f>IF(AND($F31&lt;=AE$2,AC29&gt;0),AC29*$F31,0)</f>
        <v>#REF!</v>
      </c>
      <c r="AD31" s="19" t="e">
        <f>IF(AC29&lt;$C$23,0,AC31)</f>
        <v>#REF!</v>
      </c>
      <c r="AE31" s="21">
        <v>0</v>
      </c>
      <c r="AF31" s="21" t="e">
        <f>IF(AND($F31&lt;=AH$2,AF29&gt;0),AF29*$F31,0)</f>
        <v>#REF!</v>
      </c>
      <c r="AG31" s="19" t="e">
        <f>IF(AF29&lt;$C$23,0,AF31)</f>
        <v>#REF!</v>
      </c>
      <c r="AH31" s="21">
        <v>0</v>
      </c>
      <c r="AI31" s="21" t="e">
        <f>IF(AND($F31&lt;=AK$2,AI29&gt;0),AI29*$F31,0)</f>
        <v>#REF!</v>
      </c>
      <c r="AJ31" s="19" t="e">
        <f>IF(AI29&lt;$C$23,0,AI31)</f>
        <v>#REF!</v>
      </c>
      <c r="AK31" s="21">
        <v>0</v>
      </c>
      <c r="AL31" s="21" t="e">
        <f>IF(AND($F31&lt;=AN$2,AL29&gt;0),AL29*$F31,0)</f>
        <v>#REF!</v>
      </c>
      <c r="AM31" s="19" t="e">
        <f>IF(AL29&lt;$C$23,0,AL31)</f>
        <v>#REF!</v>
      </c>
      <c r="AN31" s="21">
        <v>0</v>
      </c>
      <c r="AO31" s="21" t="e">
        <f>IF(AND($F31&lt;=AQ$2,AO29&gt;0),AO29*$F31,0)</f>
        <v>#REF!</v>
      </c>
      <c r="AP31" s="19" t="e">
        <f>IF(AO29&lt;$C$23,0,AO31)</f>
        <v>#REF!</v>
      </c>
      <c r="AQ31" s="21">
        <v>0</v>
      </c>
      <c r="AR31" s="21" t="e">
        <f>IF(AND($F31&lt;=AT$2,AR29&gt;0),AR29*$F31,0)</f>
        <v>#REF!</v>
      </c>
      <c r="AS31" s="19" t="e">
        <f>IF(AR29&lt;$C$23,0,AR31)</f>
        <v>#REF!</v>
      </c>
      <c r="AT31" s="21">
        <v>0</v>
      </c>
      <c r="AU31" s="21" t="e">
        <f>IF(AND($F31&lt;=AW$2,AU29&gt;0),AU29*$F31,0)</f>
        <v>#REF!</v>
      </c>
      <c r="AV31" s="19" t="e">
        <f>IF(AU29&lt;$C$23,0,AU31)</f>
        <v>#REF!</v>
      </c>
      <c r="AW31" s="21">
        <v>0</v>
      </c>
      <c r="AX31" s="21" t="e">
        <f>IF(AND($F31&lt;=AZ$2,AX29&gt;0),AX29*$F31,0)</f>
        <v>#REF!</v>
      </c>
      <c r="AY31" s="19" t="e">
        <f>IF(AX29&lt;$C$23,0,AX31)</f>
        <v>#REF!</v>
      </c>
      <c r="AZ31" s="21">
        <v>0</v>
      </c>
      <c r="BA31" s="22" t="e">
        <f t="shared" si="1"/>
        <v>#REF!</v>
      </c>
      <c r="BC31" t="s">
        <v>158</v>
      </c>
      <c r="BD31" s="12">
        <v>700</v>
      </c>
      <c r="BE31" s="12">
        <v>49.73</v>
      </c>
      <c r="BF31" s="12">
        <v>41.81</v>
      </c>
      <c r="BG31" s="12">
        <v>-0.24</v>
      </c>
      <c r="BH31" s="12">
        <v>16.75</v>
      </c>
      <c r="BI31" s="12">
        <v>17.78</v>
      </c>
      <c r="BJ31" s="12"/>
      <c r="BK31" s="12"/>
      <c r="BM31" t="s">
        <v>159</v>
      </c>
      <c r="BN31">
        <v>25</v>
      </c>
      <c r="BO31">
        <v>41250</v>
      </c>
      <c r="BP31">
        <v>1100</v>
      </c>
      <c r="BQ31">
        <v>200</v>
      </c>
      <c r="BR31" s="39">
        <v>40</v>
      </c>
      <c r="BS31" s="33">
        <f t="shared" si="22"/>
        <v>40</v>
      </c>
      <c r="BT31" s="33">
        <f t="shared" si="23"/>
        <v>40</v>
      </c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4"/>
      <c r="CG31" s="33">
        <v>26</v>
      </c>
      <c r="CH31" s="33">
        <v>26</v>
      </c>
      <c r="CI31" s="33">
        <v>26</v>
      </c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4"/>
      <c r="CV31">
        <v>2</v>
      </c>
      <c r="CW31">
        <v>2</v>
      </c>
      <c r="CX31">
        <v>2</v>
      </c>
      <c r="DK31" s="15"/>
      <c r="DL31" s="15"/>
    </row>
    <row r="32" spans="2:116" ht="15.75" customHeight="1">
      <c r="B32" t="s">
        <v>160</v>
      </c>
      <c r="C32">
        <f t="shared" ref="C32:C46" si="24">ROUNDDOWN(C65/$C$7,0)</f>
        <v>3</v>
      </c>
      <c r="F32" s="26">
        <v>4</v>
      </c>
      <c r="G32" s="27">
        <f t="shared" si="21"/>
        <v>0</v>
      </c>
      <c r="H32" s="21">
        <f>IF(AND($F32&lt;=J$2,H29&gt;0),H29*$F32,0)</f>
        <v>28</v>
      </c>
      <c r="I32" s="19">
        <f>IF(H29&lt;$C$23,0,H32)</f>
        <v>28</v>
      </c>
      <c r="J32" s="20">
        <v>0</v>
      </c>
      <c r="K32" s="21" t="e">
        <f>IF(AND($F32&lt;=M$2,K29&gt;0),K29*$F32,0)</f>
        <v>#REF!</v>
      </c>
      <c r="L32" s="19" t="e">
        <f>IF(K29&lt;$C$23,0,K32)</f>
        <v>#REF!</v>
      </c>
      <c r="M32" s="21">
        <v>0</v>
      </c>
      <c r="N32" s="21" t="e">
        <f>IF(AND($F32&lt;=P$2,N29&gt;0),N29*$F32,0)</f>
        <v>#REF!</v>
      </c>
      <c r="O32" s="19" t="e">
        <f>IF(N29&lt;$C$23,0,N32)</f>
        <v>#REF!</v>
      </c>
      <c r="P32" s="21">
        <v>0</v>
      </c>
      <c r="Q32" s="21" t="e">
        <f>IF(AND($F32&lt;=S$2,Q29&gt;0),Q29*$F32,0)</f>
        <v>#REF!</v>
      </c>
      <c r="R32" s="19" t="e">
        <f>IF(Q29&lt;$C$23,0,Q32)</f>
        <v>#REF!</v>
      </c>
      <c r="S32" s="21">
        <v>0</v>
      </c>
      <c r="T32" s="21" t="e">
        <f>IF(AND($F32&lt;=V$2,T29&gt;0),T29*$F32,0)</f>
        <v>#REF!</v>
      </c>
      <c r="U32" s="19" t="e">
        <f>IF(T29&lt;$C$23,0,T32)</f>
        <v>#REF!</v>
      </c>
      <c r="V32" s="21">
        <v>0</v>
      </c>
      <c r="W32" s="21" t="e">
        <f>IF(AND($F32&lt;=Y$2,W29&gt;0),W29*$F32,0)</f>
        <v>#REF!</v>
      </c>
      <c r="X32" s="19" t="e">
        <f>IF(W29&lt;$C$23,0,W32)</f>
        <v>#REF!</v>
      </c>
      <c r="Y32" s="21">
        <v>0</v>
      </c>
      <c r="Z32" s="21" t="e">
        <f>IF(AND($F32&lt;=AB$2,Z29&gt;0),Z29*$F32,0)</f>
        <v>#REF!</v>
      </c>
      <c r="AA32" s="19" t="e">
        <f>IF(Z29&lt;$C$23,0,Z32)</f>
        <v>#REF!</v>
      </c>
      <c r="AB32" s="21">
        <v>0</v>
      </c>
      <c r="AC32" s="21" t="e">
        <f>IF(AND($F32&lt;=AE$2,AC29&gt;0),AC29*$F32,0)</f>
        <v>#REF!</v>
      </c>
      <c r="AD32" s="19" t="e">
        <f>IF(AC29&lt;$C$23,0,AC32)</f>
        <v>#REF!</v>
      </c>
      <c r="AE32" s="21">
        <v>0</v>
      </c>
      <c r="AF32" s="21" t="e">
        <f>IF(AND($F32&lt;=AH$2,AF29&gt;0),AF29*$F32,0)</f>
        <v>#REF!</v>
      </c>
      <c r="AG32" s="19" t="e">
        <f>IF(AF29&lt;$C$23,0,AF32)</f>
        <v>#REF!</v>
      </c>
      <c r="AH32" s="21">
        <v>0</v>
      </c>
      <c r="AI32" s="21" t="e">
        <f>IF(AND($F32&lt;=AK$2,AI29&gt;0),AI29*$F32,0)</f>
        <v>#REF!</v>
      </c>
      <c r="AJ32" s="19" t="e">
        <f>IF(AI29&lt;$C$23,0,AI32)</f>
        <v>#REF!</v>
      </c>
      <c r="AK32" s="21">
        <v>0</v>
      </c>
      <c r="AL32" s="21" t="e">
        <f>IF(AND($F32&lt;=AN$2,AL29&gt;0),AL29*$F32,0)</f>
        <v>#REF!</v>
      </c>
      <c r="AM32" s="19" t="e">
        <f>IF(AL29&lt;$C$23,0,AL32)</f>
        <v>#REF!</v>
      </c>
      <c r="AN32" s="21">
        <v>0</v>
      </c>
      <c r="AO32" s="21" t="e">
        <f>IF(AND($F32&lt;=AQ$2,AO29&gt;0),AO29*$F32,0)</f>
        <v>#REF!</v>
      </c>
      <c r="AP32" s="19" t="e">
        <f>IF(AO29&lt;$C$23,0,AO32)</f>
        <v>#REF!</v>
      </c>
      <c r="AQ32" s="21">
        <v>0</v>
      </c>
      <c r="AR32" s="21" t="e">
        <f>IF(AND($F32&lt;=AT$2,AR29&gt;0),AR29*$F32,0)</f>
        <v>#REF!</v>
      </c>
      <c r="AS32" s="19" t="e">
        <f>IF(AR29&lt;$C$23,0,AR32)</f>
        <v>#REF!</v>
      </c>
      <c r="AT32" s="21">
        <v>0</v>
      </c>
      <c r="AU32" s="21" t="e">
        <f>IF(AND($F32&lt;=AW$2,AU29&gt;0),AU29*$F32,0)</f>
        <v>#REF!</v>
      </c>
      <c r="AV32" s="19" t="e">
        <f>IF(AU29&lt;$C$23,0,AU32)</f>
        <v>#REF!</v>
      </c>
      <c r="AW32" s="21">
        <v>0</v>
      </c>
      <c r="AX32" s="21" t="e">
        <f>IF(AND($F32&lt;=AZ$2,AX29&gt;0),AX29*$F32,0)</f>
        <v>#REF!</v>
      </c>
      <c r="AY32" s="19" t="e">
        <f>IF(AX29&lt;$C$23,0,AX32)</f>
        <v>#REF!</v>
      </c>
      <c r="AZ32" s="21">
        <v>0</v>
      </c>
      <c r="BA32" s="22" t="e">
        <f t="shared" si="1"/>
        <v>#REF!</v>
      </c>
      <c r="BC32" t="s">
        <v>161</v>
      </c>
      <c r="BD32">
        <v>440</v>
      </c>
      <c r="BE32">
        <v>49</v>
      </c>
      <c r="BF32">
        <v>41.81</v>
      </c>
      <c r="BG32">
        <v>-0.31</v>
      </c>
      <c r="BH32" s="12">
        <v>10.52</v>
      </c>
      <c r="BI32" s="12">
        <v>11.29</v>
      </c>
      <c r="BJ32" s="12"/>
      <c r="BK32" s="12"/>
      <c r="BM32" t="s">
        <v>162</v>
      </c>
      <c r="BN32">
        <v>25</v>
      </c>
      <c r="BO32">
        <v>41250</v>
      </c>
      <c r="BP32">
        <v>1100</v>
      </c>
      <c r="BQ32">
        <v>200</v>
      </c>
      <c r="BR32" s="39">
        <v>44.5</v>
      </c>
      <c r="BS32" s="33">
        <v>44.5</v>
      </c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4"/>
      <c r="CG32" s="33">
        <v>28.5</v>
      </c>
      <c r="CH32" s="33">
        <v>28.5</v>
      </c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4"/>
      <c r="CV32">
        <v>3</v>
      </c>
      <c r="CW32">
        <v>3</v>
      </c>
      <c r="DK32" s="25"/>
      <c r="DL32" s="25"/>
    </row>
    <row r="33" spans="2:116" ht="15.75" customHeight="1">
      <c r="B33" t="s">
        <v>163</v>
      </c>
      <c r="C33">
        <f t="shared" si="24"/>
        <v>1</v>
      </c>
      <c r="F33" s="26">
        <v>5</v>
      </c>
      <c r="G33" s="27">
        <f t="shared" si="21"/>
        <v>0</v>
      </c>
      <c r="H33" s="21">
        <f>IF(AND($F33&lt;=J$2,H29&gt;0),H29*$F33,0)</f>
        <v>35</v>
      </c>
      <c r="I33" s="19">
        <f>IF(H29&lt;$C$23,0,H33)</f>
        <v>35</v>
      </c>
      <c r="J33" s="20">
        <v>0</v>
      </c>
      <c r="K33" s="21" t="e">
        <f>IF(AND($F33&lt;=M$2,K29&gt;0),K29*$F33,0)</f>
        <v>#REF!</v>
      </c>
      <c r="L33" s="19" t="e">
        <f>IF(K29&lt;$C$23,0,K33)</f>
        <v>#REF!</v>
      </c>
      <c r="M33" s="21">
        <v>0</v>
      </c>
      <c r="N33" s="21" t="e">
        <f>IF(AND($F33&lt;=P$2,N29&gt;0),N29*$F33,0)</f>
        <v>#REF!</v>
      </c>
      <c r="O33" s="19" t="e">
        <f>IF(N29&lt;$C$23,0,N33)</f>
        <v>#REF!</v>
      </c>
      <c r="P33" s="21">
        <v>0</v>
      </c>
      <c r="Q33" s="21" t="e">
        <f>IF(AND($F33&lt;=S$2,Q29&gt;0),Q29*$F33,0)</f>
        <v>#REF!</v>
      </c>
      <c r="R33" s="19" t="e">
        <f>IF(Q29&lt;$C$23,0,Q33)</f>
        <v>#REF!</v>
      </c>
      <c r="S33" s="21">
        <v>0</v>
      </c>
      <c r="T33" s="21" t="e">
        <f>IF(AND($F33&lt;=V$2,T29&gt;0),T29*$F33,0)</f>
        <v>#REF!</v>
      </c>
      <c r="U33" s="19" t="e">
        <f>IF(T29&lt;$C$23,0,T33)</f>
        <v>#REF!</v>
      </c>
      <c r="V33" s="21">
        <v>0</v>
      </c>
      <c r="W33" s="21" t="e">
        <f>IF(AND($F33&lt;=Y$2,W29&gt;0),W29*$F33,0)</f>
        <v>#REF!</v>
      </c>
      <c r="X33" s="19" t="e">
        <f>IF(W29&lt;$C$23,0,W33)</f>
        <v>#REF!</v>
      </c>
      <c r="Y33" s="21">
        <v>0</v>
      </c>
      <c r="Z33" s="21" t="e">
        <f>IF(AND($F33&lt;=AB$2,Z29&gt;0),Z29*$F33,0)</f>
        <v>#REF!</v>
      </c>
      <c r="AA33" s="19" t="e">
        <f>IF(Z29&lt;$C$23,0,Z33)</f>
        <v>#REF!</v>
      </c>
      <c r="AB33" s="21">
        <v>0</v>
      </c>
      <c r="AC33" s="21" t="e">
        <f>IF(AND($F33&lt;=AE$2,AC29&gt;0),AC29*$F33,0)</f>
        <v>#REF!</v>
      </c>
      <c r="AD33" s="19" t="e">
        <f>IF(AC29&lt;$C$23,0,AC33)</f>
        <v>#REF!</v>
      </c>
      <c r="AE33" s="21">
        <v>0</v>
      </c>
      <c r="AF33" s="21" t="e">
        <f>IF(AND($F33&lt;=AH$2,AF29&gt;0),AF29*$F33,0)</f>
        <v>#REF!</v>
      </c>
      <c r="AG33" s="19" t="e">
        <f>IF(AF29&lt;$C$23,0,AF33)</f>
        <v>#REF!</v>
      </c>
      <c r="AH33" s="21">
        <v>0</v>
      </c>
      <c r="AI33" s="21" t="e">
        <f>IF(AND($F33&lt;=AK$2,AI29&gt;0),AI29*$F33,0)</f>
        <v>#REF!</v>
      </c>
      <c r="AJ33" s="19" t="e">
        <f>IF(AI29&lt;$C$23,0,AI33)</f>
        <v>#REF!</v>
      </c>
      <c r="AK33" s="21">
        <v>0</v>
      </c>
      <c r="AL33" s="21" t="e">
        <f>IF(AND($F33&lt;=AN$2,AL29&gt;0),AL29*$F33,0)</f>
        <v>#REF!</v>
      </c>
      <c r="AM33" s="19" t="e">
        <f>IF(AL29&lt;$C$23,0,AL33)</f>
        <v>#REF!</v>
      </c>
      <c r="AN33" s="21">
        <v>0</v>
      </c>
      <c r="AO33" s="21" t="e">
        <f>IF(AND($F33&lt;=AQ$2,AO29&gt;0),AO29*$F33,0)</f>
        <v>#REF!</v>
      </c>
      <c r="AP33" s="19" t="e">
        <f>IF(AO29&lt;$C$23,0,AO33)</f>
        <v>#REF!</v>
      </c>
      <c r="AQ33" s="21">
        <v>0</v>
      </c>
      <c r="AR33" s="21" t="e">
        <f>IF(AND($F33&lt;=AT$2,AR29&gt;0),AR29*$F33,0)</f>
        <v>#REF!</v>
      </c>
      <c r="AS33" s="19" t="e">
        <f>IF(AR29&lt;$C$23,0,AR33)</f>
        <v>#REF!</v>
      </c>
      <c r="AT33" s="21">
        <v>0</v>
      </c>
      <c r="AU33" s="21" t="e">
        <f>IF(AND($F33&lt;=AW$2,AU29&gt;0),AU29*$F33,0)</f>
        <v>#REF!</v>
      </c>
      <c r="AV33" s="19" t="e">
        <f>IF(AU29&lt;$C$23,0,AU33)</f>
        <v>#REF!</v>
      </c>
      <c r="AW33" s="21">
        <v>0</v>
      </c>
      <c r="AX33" s="21" t="e">
        <f>IF(AND($F33&lt;=AZ$2,AX29&gt;0),AX29*$F33,0)</f>
        <v>#REF!</v>
      </c>
      <c r="AY33" s="19" t="e">
        <f>IF(AX29&lt;$C$23,0,AX33)</f>
        <v>#REF!</v>
      </c>
      <c r="AZ33" s="21">
        <v>0</v>
      </c>
      <c r="BA33" s="22" t="e">
        <f t="shared" si="1"/>
        <v>#REF!</v>
      </c>
      <c r="BC33" t="s">
        <v>164</v>
      </c>
      <c r="BD33">
        <v>540</v>
      </c>
      <c r="BE33">
        <v>49.8</v>
      </c>
      <c r="BF33">
        <v>42</v>
      </c>
      <c r="BG33">
        <v>-0.31</v>
      </c>
      <c r="BH33" s="12">
        <v>12.86</v>
      </c>
      <c r="BI33" s="12">
        <v>13.66</v>
      </c>
      <c r="BJ33" s="12"/>
      <c r="BK33" s="12"/>
      <c r="BM33" t="s">
        <v>165</v>
      </c>
      <c r="BN33">
        <v>30</v>
      </c>
      <c r="BO33">
        <v>45000</v>
      </c>
      <c r="BP33">
        <v>1100</v>
      </c>
      <c r="BQ33">
        <v>195</v>
      </c>
      <c r="BR33" s="39">
        <v>50</v>
      </c>
      <c r="BS33" s="33">
        <f t="shared" si="22"/>
        <v>50</v>
      </c>
      <c r="BT33" s="33">
        <f t="shared" si="23"/>
        <v>50</v>
      </c>
      <c r="BU33" s="33">
        <f>BT33</f>
        <v>50</v>
      </c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4"/>
      <c r="CG33" s="33">
        <v>32</v>
      </c>
      <c r="CH33" s="33">
        <v>32</v>
      </c>
      <c r="CI33" s="33">
        <v>32</v>
      </c>
      <c r="CJ33" s="33">
        <v>32</v>
      </c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4"/>
      <c r="CV33">
        <v>2</v>
      </c>
      <c r="CW33">
        <v>2</v>
      </c>
      <c r="CX33">
        <v>2</v>
      </c>
      <c r="CY33">
        <v>2</v>
      </c>
      <c r="DK33" s="15"/>
      <c r="DL33" s="15"/>
    </row>
    <row r="34" spans="2:116" ht="15.75" customHeight="1">
      <c r="B34" t="s">
        <v>166</v>
      </c>
      <c r="C34">
        <f t="shared" si="24"/>
        <v>0</v>
      </c>
      <c r="F34" s="26">
        <v>1</v>
      </c>
      <c r="G34" s="27">
        <f t="shared" ref="G34:G38" si="25">IF(OR(J34&lt;&gt;0,M34&lt;&gt;0,P34&lt;&gt;0,S34&lt;&gt;0,V34&lt;&gt;0,Y34&lt;&gt;0,AB34&lt;&gt;0,AE34&lt;&gt;0,AH34&lt;&gt;0,AK34&lt;&gt;0,AN34&lt;&gt;0,AQ34&lt;&gt;0,AT34&lt;&gt;0,AW34&lt;&gt;0,AZ34&lt;&gt;0),$C$26-6,0)</f>
        <v>0</v>
      </c>
      <c r="H34" s="21">
        <f>IF(AND($F34&lt;=J$2,H29&gt;0),H29-1,0)</f>
        <v>6</v>
      </c>
      <c r="I34" s="19">
        <f>IF(H34&lt;$C$23,0,H34)</f>
        <v>6</v>
      </c>
      <c r="J34" s="20">
        <v>0</v>
      </c>
      <c r="K34" s="21" t="e">
        <f>IF(AND($F34&lt;=M$2,K29&gt;0),K29-1,0)</f>
        <v>#REF!</v>
      </c>
      <c r="L34" s="19" t="e">
        <f>IF(K34&lt;$C$23,0,K34)</f>
        <v>#REF!</v>
      </c>
      <c r="M34" s="21">
        <v>0</v>
      </c>
      <c r="N34" s="21" t="e">
        <f>IF(AND($F34&lt;=P$2,N29&gt;0),N29-1,0)</f>
        <v>#REF!</v>
      </c>
      <c r="O34" s="19" t="e">
        <f>IF(N34&lt;$C$23,0,N34)</f>
        <v>#REF!</v>
      </c>
      <c r="P34" s="21">
        <v>0</v>
      </c>
      <c r="Q34" s="21" t="e">
        <f>IF(AND($F34&lt;=S$2,Q29&gt;0),Q29-1,0)</f>
        <v>#REF!</v>
      </c>
      <c r="R34" s="19" t="e">
        <f>IF(Q34&lt;$C$23,0,Q34)</f>
        <v>#REF!</v>
      </c>
      <c r="S34" s="21">
        <v>0</v>
      </c>
      <c r="T34" s="21" t="e">
        <f>IF(AND($F34&lt;=V$2,T29&gt;0),T29-1,0)</f>
        <v>#REF!</v>
      </c>
      <c r="U34" s="19" t="e">
        <f>IF(T34&lt;$C$23,0,T34)</f>
        <v>#REF!</v>
      </c>
      <c r="V34" s="21">
        <v>0</v>
      </c>
      <c r="W34" s="21" t="e">
        <f>IF(AND($F34&lt;=Y$2,W29&gt;0),W29-1,0)</f>
        <v>#REF!</v>
      </c>
      <c r="X34" s="19" t="e">
        <f>IF(W34&lt;$C$23,0,W34)</f>
        <v>#REF!</v>
      </c>
      <c r="Y34" s="21">
        <v>0</v>
      </c>
      <c r="Z34" s="21" t="e">
        <f>IF(AND($F34&lt;=AB$2,Z29&gt;0),Z29-1,0)</f>
        <v>#REF!</v>
      </c>
      <c r="AA34" s="19" t="e">
        <f>IF(Z34&lt;$C$23,0,Z34)</f>
        <v>#REF!</v>
      </c>
      <c r="AB34" s="21">
        <v>0</v>
      </c>
      <c r="AC34" s="21" t="e">
        <f>IF(AND($F34&lt;=AE$2,AC29&gt;0),AC29-1,0)</f>
        <v>#REF!</v>
      </c>
      <c r="AD34" s="19" t="e">
        <f>IF(AC34&lt;$C$23,0,AC34)</f>
        <v>#REF!</v>
      </c>
      <c r="AE34" s="21">
        <v>0</v>
      </c>
      <c r="AF34" s="21" t="e">
        <f>IF(AND($F34&lt;=AH$2,AF29&gt;0),AF29-1,0)</f>
        <v>#REF!</v>
      </c>
      <c r="AG34" s="19" t="e">
        <f>IF(AF34&lt;$C$23,0,AF34)</f>
        <v>#REF!</v>
      </c>
      <c r="AH34" s="21">
        <v>0</v>
      </c>
      <c r="AI34" s="21" t="e">
        <f>IF(AND($F34&lt;=AK$2,AI29&gt;0),AI29-1,0)</f>
        <v>#REF!</v>
      </c>
      <c r="AJ34" s="19" t="e">
        <f>IF(AI34&lt;$C$23,0,AI34)</f>
        <v>#REF!</v>
      </c>
      <c r="AK34" s="21">
        <v>0</v>
      </c>
      <c r="AL34" s="21" t="e">
        <f>IF(AND($F34&lt;=AN$2,AL29&gt;0),AL29-1,0)</f>
        <v>#REF!</v>
      </c>
      <c r="AM34" s="19" t="e">
        <f>IF(AL34&lt;$C$23,0,AL34)</f>
        <v>#REF!</v>
      </c>
      <c r="AN34" s="21">
        <v>0</v>
      </c>
      <c r="AO34" s="21" t="e">
        <f>IF(AND($F34&lt;=AQ$2,AO29&gt;0),AO29-1,0)</f>
        <v>#REF!</v>
      </c>
      <c r="AP34" s="19" t="e">
        <f>IF(AO34&lt;$C$23,0,AO34)</f>
        <v>#REF!</v>
      </c>
      <c r="AQ34" s="21">
        <v>0</v>
      </c>
      <c r="AR34" s="21" t="e">
        <f>IF(AND($F34&lt;=AT$2,AR29&gt;0),AR29-1,0)</f>
        <v>#REF!</v>
      </c>
      <c r="AS34" s="19" t="e">
        <f>IF(AR34&lt;$C$23,0,AR34)</f>
        <v>#REF!</v>
      </c>
      <c r="AT34" s="21">
        <v>0</v>
      </c>
      <c r="AU34" s="21" t="e">
        <f>IF(AND($F34&lt;=AW$2,AU29&gt;0),AU29-1,0)</f>
        <v>#REF!</v>
      </c>
      <c r="AV34" s="19" t="e">
        <f>IF(AU34&lt;$C$23,0,AU34)</f>
        <v>#REF!</v>
      </c>
      <c r="AW34" s="21">
        <v>0</v>
      </c>
      <c r="AX34" s="21" t="e">
        <f>IF(AND($F34&lt;=AZ$2,AX29&gt;0),AX29-1,0)</f>
        <v>#REF!</v>
      </c>
      <c r="AY34" s="19" t="e">
        <f>IF(AX34&lt;$C$23,0,AX34)</f>
        <v>#REF!</v>
      </c>
      <c r="AZ34" s="21">
        <v>0</v>
      </c>
      <c r="BA34" s="22" t="e">
        <f t="shared" si="1"/>
        <v>#REF!</v>
      </c>
      <c r="BC34" t="s">
        <v>167</v>
      </c>
      <c r="BD34">
        <v>545</v>
      </c>
      <c r="BE34">
        <v>50</v>
      </c>
      <c r="BF34">
        <v>42.2</v>
      </c>
      <c r="BG34">
        <v>-0.31</v>
      </c>
      <c r="BH34" s="12">
        <v>12.91</v>
      </c>
      <c r="BI34" s="12">
        <v>13.72</v>
      </c>
      <c r="BJ34" s="12"/>
      <c r="BK34" s="12"/>
      <c r="BM34" t="s">
        <v>168</v>
      </c>
      <c r="BN34">
        <v>30</v>
      </c>
      <c r="BO34">
        <v>49500</v>
      </c>
      <c r="BP34">
        <v>1100</v>
      </c>
      <c r="BQ34">
        <v>200</v>
      </c>
      <c r="BR34" s="39">
        <v>40</v>
      </c>
      <c r="BS34" s="33">
        <v>40</v>
      </c>
      <c r="BT34" s="33">
        <v>40</v>
      </c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4"/>
      <c r="CG34" s="33">
        <v>26</v>
      </c>
      <c r="CH34" s="33">
        <v>26</v>
      </c>
      <c r="CI34" s="33">
        <v>26</v>
      </c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4"/>
      <c r="CV34">
        <v>2</v>
      </c>
      <c r="CW34">
        <v>2</v>
      </c>
      <c r="CX34">
        <v>2</v>
      </c>
      <c r="DK34" s="25"/>
      <c r="DL34" s="25"/>
    </row>
    <row r="35" spans="2:116" ht="15.75" customHeight="1">
      <c r="B35" t="s">
        <v>169</v>
      </c>
      <c r="C35">
        <f t="shared" si="24"/>
        <v>0</v>
      </c>
      <c r="F35" s="26">
        <v>2</v>
      </c>
      <c r="G35" s="27">
        <f t="shared" si="25"/>
        <v>0</v>
      </c>
      <c r="H35" s="21">
        <f>IF(AND($F35&lt;=J$2,H34&gt;0),H34*$F35,0)</f>
        <v>12</v>
      </c>
      <c r="I35" s="19">
        <f>IF(H34&lt;$C$23,0,H35)</f>
        <v>12</v>
      </c>
      <c r="J35" s="20">
        <v>0</v>
      </c>
      <c r="K35" s="21" t="e">
        <f>IF(AND($F35&lt;=M$2,K34&gt;0),K34*$F35,0)</f>
        <v>#REF!</v>
      </c>
      <c r="L35" s="19" t="e">
        <f>IF(K34&lt;$C$23,0,K35)</f>
        <v>#REF!</v>
      </c>
      <c r="M35" s="21">
        <v>0</v>
      </c>
      <c r="N35" s="21" t="e">
        <f>IF(AND($F35&lt;=P$2,N34&gt;0),N34*$F35,0)</f>
        <v>#REF!</v>
      </c>
      <c r="O35" s="19" t="e">
        <f>IF(N34&lt;$C$23,0,N35)</f>
        <v>#REF!</v>
      </c>
      <c r="P35" s="21">
        <v>0</v>
      </c>
      <c r="Q35" s="21" t="e">
        <f>IF(AND($F35&lt;=S$2,Q34&gt;0),Q34*$F35,0)</f>
        <v>#REF!</v>
      </c>
      <c r="R35" s="19" t="e">
        <f>IF(Q34&lt;$C$23,0,Q35)</f>
        <v>#REF!</v>
      </c>
      <c r="S35" s="21">
        <v>0</v>
      </c>
      <c r="T35" s="21" t="e">
        <f>IF(AND($F35&lt;=V$2,T34&gt;0),T34*$F35,0)</f>
        <v>#REF!</v>
      </c>
      <c r="U35" s="19" t="e">
        <f>IF(T34&lt;$C$23,0,T35)</f>
        <v>#REF!</v>
      </c>
      <c r="V35" s="21">
        <v>0</v>
      </c>
      <c r="W35" s="21" t="e">
        <f>IF(AND($F35&lt;=Y$2,W34&gt;0),W34*$F35,0)</f>
        <v>#REF!</v>
      </c>
      <c r="X35" s="19" t="e">
        <f>IF(W34&lt;$C$23,0,W35)</f>
        <v>#REF!</v>
      </c>
      <c r="Y35" s="21">
        <v>0</v>
      </c>
      <c r="Z35" s="21" t="e">
        <f>IF(AND($F35&lt;=AB$2,Z34&gt;0),Z34*$F35,0)</f>
        <v>#REF!</v>
      </c>
      <c r="AA35" s="19" t="e">
        <f>IF(Z34&lt;$C$23,0,Z35)</f>
        <v>#REF!</v>
      </c>
      <c r="AB35" s="21">
        <v>0</v>
      </c>
      <c r="AC35" s="21" t="e">
        <f>IF(AND($F35&lt;=AE$2,AC34&gt;0),AC34*$F35,0)</f>
        <v>#REF!</v>
      </c>
      <c r="AD35" s="19" t="e">
        <f>IF(AC34&lt;$C$23,0,AC35)</f>
        <v>#REF!</v>
      </c>
      <c r="AE35" s="21">
        <v>0</v>
      </c>
      <c r="AF35" s="21" t="e">
        <f>IF(AND($F35&lt;=AH$2,AF34&gt;0),AF34*$F35,0)</f>
        <v>#REF!</v>
      </c>
      <c r="AG35" s="19" t="e">
        <f>IF(AF34&lt;$C$23,0,AF35)</f>
        <v>#REF!</v>
      </c>
      <c r="AH35" s="21">
        <v>0</v>
      </c>
      <c r="AI35" s="21" t="e">
        <f>IF(AND($F35&lt;=AK$2,AI34&gt;0),AI34*$F35,0)</f>
        <v>#REF!</v>
      </c>
      <c r="AJ35" s="19" t="e">
        <f>IF(AI34&lt;$C$23,0,AI35)</f>
        <v>#REF!</v>
      </c>
      <c r="AK35" s="21">
        <v>0</v>
      </c>
      <c r="AL35" s="21" t="e">
        <f>IF(AND($F35&lt;=AN$2,AL34&gt;0),AL34*$F35,0)</f>
        <v>#REF!</v>
      </c>
      <c r="AM35" s="19" t="e">
        <f>IF(AL34&lt;$C$23,0,AL35)</f>
        <v>#REF!</v>
      </c>
      <c r="AN35" s="21">
        <v>0</v>
      </c>
      <c r="AO35" s="21" t="e">
        <f>IF(AND($F35&lt;=AQ$2,AO34&gt;0),AO34*$F35,0)</f>
        <v>#REF!</v>
      </c>
      <c r="AP35" s="19" t="e">
        <f>IF(AO34&lt;$C$23,0,AO35)</f>
        <v>#REF!</v>
      </c>
      <c r="AQ35" s="21">
        <v>0</v>
      </c>
      <c r="AR35" s="21" t="e">
        <f>IF(AND($F35&lt;=AT$2,AR34&gt;0),AR34*$F35,0)</f>
        <v>#REF!</v>
      </c>
      <c r="AS35" s="19" t="e">
        <f>IF(AR34&lt;$C$23,0,AR35)</f>
        <v>#REF!</v>
      </c>
      <c r="AT35" s="21">
        <v>0</v>
      </c>
      <c r="AU35" s="21" t="e">
        <f>IF(AND($F35&lt;=AW$2,AU34&gt;0),AU34*$F35,0)</f>
        <v>#REF!</v>
      </c>
      <c r="AV35" s="19" t="e">
        <f>IF(AU34&lt;$C$23,0,AU35)</f>
        <v>#REF!</v>
      </c>
      <c r="AW35" s="21">
        <v>0</v>
      </c>
      <c r="AX35" s="21" t="e">
        <f>IF(AND($F35&lt;=AZ$2,AX34&gt;0),AX34*$F35,0)</f>
        <v>#REF!</v>
      </c>
      <c r="AY35" s="19" t="e">
        <f>IF(AX34&lt;$C$23,0,AX35)</f>
        <v>#REF!</v>
      </c>
      <c r="AZ35" s="21">
        <v>0</v>
      </c>
      <c r="BA35" s="22" t="e">
        <f t="shared" si="1"/>
        <v>#REF!</v>
      </c>
      <c r="BC35" s="40" t="s">
        <v>170</v>
      </c>
      <c r="BD35">
        <v>555</v>
      </c>
      <c r="BE35">
        <v>50.4</v>
      </c>
      <c r="BF35">
        <v>42.6</v>
      </c>
      <c r="BG35">
        <v>-0.31</v>
      </c>
      <c r="BH35" s="12">
        <v>13.03</v>
      </c>
      <c r="BI35" s="12">
        <v>13.84</v>
      </c>
      <c r="BJ35" s="12"/>
      <c r="BK35" s="12"/>
      <c r="BM35" t="s">
        <v>171</v>
      </c>
      <c r="BN35">
        <v>30</v>
      </c>
      <c r="BO35">
        <v>45000</v>
      </c>
      <c r="BP35">
        <v>1100</v>
      </c>
      <c r="BQ35">
        <v>200</v>
      </c>
      <c r="BR35" s="39">
        <v>44.5</v>
      </c>
      <c r="BS35" s="33">
        <v>44.5</v>
      </c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4"/>
      <c r="CG35" s="33">
        <v>28.5</v>
      </c>
      <c r="CH35" s="33">
        <v>28.5</v>
      </c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4"/>
      <c r="CV35">
        <v>3</v>
      </c>
      <c r="CW35">
        <v>3</v>
      </c>
      <c r="DK35" s="15"/>
      <c r="DL35" s="15"/>
    </row>
    <row r="36" spans="2:116" ht="15.75" customHeight="1">
      <c r="B36" t="s">
        <v>172</v>
      </c>
      <c r="C36">
        <f t="shared" si="24"/>
        <v>0</v>
      </c>
      <c r="F36" s="26">
        <v>3</v>
      </c>
      <c r="G36" s="27">
        <f t="shared" si="25"/>
        <v>0</v>
      </c>
      <c r="H36" s="21">
        <f>IF(AND($F36&lt;=J$2,H34&gt;0),H34*$F36,0)</f>
        <v>18</v>
      </c>
      <c r="I36" s="19">
        <f>IF(H34&lt;$C$23,0,H36)</f>
        <v>18</v>
      </c>
      <c r="J36" s="20">
        <v>0</v>
      </c>
      <c r="K36" s="21" t="e">
        <f>IF(AND($F36&lt;=M$2,K34&gt;0),K34*$F36,0)</f>
        <v>#REF!</v>
      </c>
      <c r="L36" s="19" t="e">
        <f>IF(K34&lt;$C$23,0,K36)</f>
        <v>#REF!</v>
      </c>
      <c r="M36" s="21">
        <v>0</v>
      </c>
      <c r="N36" s="21" t="e">
        <f>IF(AND($F36&lt;=P$2,N34&gt;0),N34*$F36,0)</f>
        <v>#REF!</v>
      </c>
      <c r="O36" s="19" t="e">
        <f>IF(N34&lt;$C$23,0,N36)</f>
        <v>#REF!</v>
      </c>
      <c r="P36" s="21">
        <v>0</v>
      </c>
      <c r="Q36" s="21" t="e">
        <f>IF(AND($F36&lt;=S$2,Q34&gt;0),Q34*$F36,0)</f>
        <v>#REF!</v>
      </c>
      <c r="R36" s="19" t="e">
        <f>IF(Q34&lt;$C$23,0,Q36)</f>
        <v>#REF!</v>
      </c>
      <c r="S36" s="21">
        <v>0</v>
      </c>
      <c r="T36" s="21" t="e">
        <f>IF(AND($F36&lt;=V$2,T34&gt;0),T34*$F36,0)</f>
        <v>#REF!</v>
      </c>
      <c r="U36" s="19" t="e">
        <f>IF(T34&lt;$C$23,0,T36)</f>
        <v>#REF!</v>
      </c>
      <c r="V36" s="21">
        <v>0</v>
      </c>
      <c r="W36" s="21" t="e">
        <f>IF(AND($F36&lt;=Y$2,W34&gt;0),W34*$F36,0)</f>
        <v>#REF!</v>
      </c>
      <c r="X36" s="19" t="e">
        <f>IF(W34&lt;$C$23,0,W36)</f>
        <v>#REF!</v>
      </c>
      <c r="Y36" s="21">
        <v>0</v>
      </c>
      <c r="Z36" s="21" t="e">
        <f>IF(AND($F36&lt;=AB$2,Z34&gt;0),Z34*$F36,0)</f>
        <v>#REF!</v>
      </c>
      <c r="AA36" s="19" t="e">
        <f>IF(Z34&lt;$C$23,0,Z36)</f>
        <v>#REF!</v>
      </c>
      <c r="AB36" s="21">
        <v>0</v>
      </c>
      <c r="AC36" s="21" t="e">
        <f>IF(AND($F36&lt;=AE$2,AC34&gt;0),AC34*$F36,0)</f>
        <v>#REF!</v>
      </c>
      <c r="AD36" s="19" t="e">
        <f>IF(AC34&lt;$C$23,0,AC36)</f>
        <v>#REF!</v>
      </c>
      <c r="AE36" s="21">
        <v>0</v>
      </c>
      <c r="AF36" s="21" t="e">
        <f>IF(AND($F36&lt;=AH$2,AF34&gt;0),AF34*$F36,0)</f>
        <v>#REF!</v>
      </c>
      <c r="AG36" s="19" t="e">
        <f>IF(AF34&lt;$C$23,0,AF36)</f>
        <v>#REF!</v>
      </c>
      <c r="AH36" s="21">
        <v>0</v>
      </c>
      <c r="AI36" s="21" t="e">
        <f>IF(AND($F36&lt;=AK$2,AI34&gt;0),AI34*$F36,0)</f>
        <v>#REF!</v>
      </c>
      <c r="AJ36" s="19" t="e">
        <f>IF(AI34&lt;$C$23,0,AI36)</f>
        <v>#REF!</v>
      </c>
      <c r="AK36" s="21">
        <v>0</v>
      </c>
      <c r="AL36" s="21" t="e">
        <f>IF(AND($F36&lt;=AN$2,AL34&gt;0),AL34*$F36,0)</f>
        <v>#REF!</v>
      </c>
      <c r="AM36" s="19" t="e">
        <f>IF(AL34&lt;$C$23,0,AL36)</f>
        <v>#REF!</v>
      </c>
      <c r="AN36" s="21">
        <v>0</v>
      </c>
      <c r="AO36" s="21" t="e">
        <f>IF(AND($F36&lt;=AQ$2,AO34&gt;0),AO34*$F36,0)</f>
        <v>#REF!</v>
      </c>
      <c r="AP36" s="19" t="e">
        <f>IF(AO34&lt;$C$23,0,AO36)</f>
        <v>#REF!</v>
      </c>
      <c r="AQ36" s="21">
        <v>0</v>
      </c>
      <c r="AR36" s="21" t="e">
        <f>IF(AND($F36&lt;=AT$2,AR34&gt;0),AR34*$F36,0)</f>
        <v>#REF!</v>
      </c>
      <c r="AS36" s="19" t="e">
        <f>IF(AR34&lt;$C$23,0,AR36)</f>
        <v>#REF!</v>
      </c>
      <c r="AT36" s="21">
        <v>0</v>
      </c>
      <c r="AU36" s="21" t="e">
        <f>IF(AND($F36&lt;=AW$2,AU34&gt;0),AU34*$F36,0)</f>
        <v>#REF!</v>
      </c>
      <c r="AV36" s="19" t="e">
        <f>IF(AU34&lt;$C$23,0,AU36)</f>
        <v>#REF!</v>
      </c>
      <c r="AW36" s="21">
        <v>0</v>
      </c>
      <c r="AX36" s="21" t="e">
        <f>IF(AND($F36&lt;=AZ$2,AX34&gt;0),AX34*$F36,0)</f>
        <v>#REF!</v>
      </c>
      <c r="AY36" s="19" t="e">
        <f>IF(AX34&lt;$C$23,0,AX36)</f>
        <v>#REF!</v>
      </c>
      <c r="AZ36" s="21">
        <v>0</v>
      </c>
      <c r="BA36" s="22" t="e">
        <f t="shared" si="1"/>
        <v>#REF!</v>
      </c>
      <c r="BC36" s="40" t="s">
        <v>173</v>
      </c>
      <c r="BD36">
        <v>450</v>
      </c>
      <c r="BE36">
        <v>49.3</v>
      </c>
      <c r="BF36">
        <v>42.1</v>
      </c>
      <c r="BG36">
        <v>-0.31</v>
      </c>
      <c r="BH36" s="12">
        <v>10.69</v>
      </c>
      <c r="BI36" s="12">
        <v>11.35</v>
      </c>
      <c r="BJ36" s="12"/>
      <c r="BK36" s="12"/>
      <c r="BM36" t="s">
        <v>174</v>
      </c>
      <c r="BN36">
        <v>3</v>
      </c>
      <c r="BO36">
        <v>4500</v>
      </c>
      <c r="BP36">
        <v>600</v>
      </c>
      <c r="BQ36">
        <v>60</v>
      </c>
      <c r="BR36" s="39">
        <v>15</v>
      </c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4"/>
      <c r="CG36" s="33">
        <v>12</v>
      </c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4"/>
      <c r="CV36">
        <v>1</v>
      </c>
      <c r="DK36" s="25"/>
      <c r="DL36" s="25"/>
    </row>
    <row r="37" spans="2:116" ht="15.75" customHeight="1">
      <c r="B37" t="s">
        <v>175</v>
      </c>
      <c r="C37">
        <f t="shared" si="24"/>
        <v>0</v>
      </c>
      <c r="F37" s="26">
        <v>4</v>
      </c>
      <c r="G37" s="27">
        <f t="shared" si="25"/>
        <v>0</v>
      </c>
      <c r="H37" s="21">
        <f>IF(AND($F37&lt;=J$2,H34&gt;0),H34*$F37,0)</f>
        <v>24</v>
      </c>
      <c r="I37" s="19">
        <f>IF(H34&lt;$C$23,0,H37)</f>
        <v>24</v>
      </c>
      <c r="J37" s="20">
        <v>0</v>
      </c>
      <c r="K37" s="21" t="e">
        <f>IF(AND($F37&lt;=M$2,K34&gt;0),K34*$F37,0)</f>
        <v>#REF!</v>
      </c>
      <c r="L37" s="19" t="e">
        <f>IF(K34&lt;$C$23,0,K37)</f>
        <v>#REF!</v>
      </c>
      <c r="M37" s="21">
        <v>0</v>
      </c>
      <c r="N37" s="21" t="e">
        <f>IF(AND($F37&lt;=P$2,N34&gt;0),N34*$F37,0)</f>
        <v>#REF!</v>
      </c>
      <c r="O37" s="19" t="e">
        <f>IF(N34&lt;$C$23,0,N37)</f>
        <v>#REF!</v>
      </c>
      <c r="P37" s="21">
        <v>0</v>
      </c>
      <c r="Q37" s="21" t="e">
        <f>IF(AND($F37&lt;=S$2,Q34&gt;0),Q34*$F37,0)</f>
        <v>#REF!</v>
      </c>
      <c r="R37" s="19" t="e">
        <f>IF(Q34&lt;$C$23,0,Q37)</f>
        <v>#REF!</v>
      </c>
      <c r="S37" s="21">
        <v>0</v>
      </c>
      <c r="T37" s="21" t="e">
        <f>IF(AND($F37&lt;=V$2,T34&gt;0),T34*$F37,0)</f>
        <v>#REF!</v>
      </c>
      <c r="U37" s="19" t="e">
        <f>IF(T34&lt;$C$23,0,T37)</f>
        <v>#REF!</v>
      </c>
      <c r="V37" s="21">
        <v>0</v>
      </c>
      <c r="W37" s="21" t="e">
        <f>IF(AND($F37&lt;=Y$2,W34&gt;0),W34*$F37,0)</f>
        <v>#REF!</v>
      </c>
      <c r="X37" s="19" t="e">
        <f>IF(W34&lt;$C$23,0,W37)</f>
        <v>#REF!</v>
      </c>
      <c r="Y37" s="21">
        <v>0</v>
      </c>
      <c r="Z37" s="21" t="e">
        <f>IF(AND($F37&lt;=AB$2,Z34&gt;0),Z34*$F37,0)</f>
        <v>#REF!</v>
      </c>
      <c r="AA37" s="19" t="e">
        <f>IF(Z34&lt;$C$23,0,Z37)</f>
        <v>#REF!</v>
      </c>
      <c r="AB37" s="21">
        <v>0</v>
      </c>
      <c r="AC37" s="21" t="e">
        <f>IF(AND($F37&lt;=AE$2,AC34&gt;0),AC34*$F37,0)</f>
        <v>#REF!</v>
      </c>
      <c r="AD37" s="19" t="e">
        <f>IF(AC34&lt;$C$23,0,AC37)</f>
        <v>#REF!</v>
      </c>
      <c r="AE37" s="21">
        <v>0</v>
      </c>
      <c r="AF37" s="21" t="e">
        <f>IF(AND($F37&lt;=AH$2,AF34&gt;0),AF34*$F37,0)</f>
        <v>#REF!</v>
      </c>
      <c r="AG37" s="19" t="e">
        <f>IF(AF34&lt;$C$23,0,AF37)</f>
        <v>#REF!</v>
      </c>
      <c r="AH37" s="21">
        <v>0</v>
      </c>
      <c r="AI37" s="21" t="e">
        <f>IF(AND($F37&lt;=AK$2,AI34&gt;0),AI34*$F37,0)</f>
        <v>#REF!</v>
      </c>
      <c r="AJ37" s="19" t="e">
        <f>IF(AI34&lt;$C$23,0,AI37)</f>
        <v>#REF!</v>
      </c>
      <c r="AK37" s="21">
        <v>0</v>
      </c>
      <c r="AL37" s="21" t="e">
        <f>IF(AND($F37&lt;=AN$2,AL34&gt;0),AL34*$F37,0)</f>
        <v>#REF!</v>
      </c>
      <c r="AM37" s="19" t="e">
        <f>IF(AL34&lt;$C$23,0,AL37)</f>
        <v>#REF!</v>
      </c>
      <c r="AN37" s="21">
        <v>0</v>
      </c>
      <c r="AO37" s="21" t="e">
        <f>IF(AND($F37&lt;=AQ$2,AO34&gt;0),AO34*$F37,0)</f>
        <v>#REF!</v>
      </c>
      <c r="AP37" s="19" t="e">
        <f>IF(AO34&lt;$C$23,0,AO37)</f>
        <v>#REF!</v>
      </c>
      <c r="AQ37" s="21">
        <v>0</v>
      </c>
      <c r="AR37" s="21" t="e">
        <f>IF(AND($F37&lt;=AT$2,AR34&gt;0),AR34*$F37,0)</f>
        <v>#REF!</v>
      </c>
      <c r="AS37" s="19" t="e">
        <f>IF(AR34&lt;$C$23,0,AR37)</f>
        <v>#REF!</v>
      </c>
      <c r="AT37" s="21">
        <v>0</v>
      </c>
      <c r="AU37" s="21" t="e">
        <f>IF(AND($F37&lt;=AW$2,AU34&gt;0),AU34*$F37,0)</f>
        <v>#REF!</v>
      </c>
      <c r="AV37" s="19" t="e">
        <f>IF(AU34&lt;$C$23,0,AU37)</f>
        <v>#REF!</v>
      </c>
      <c r="AW37" s="21">
        <v>0</v>
      </c>
      <c r="AX37" s="21" t="e">
        <f>IF(AND($F37&lt;=AZ$2,AX34&gt;0),AX34*$F37,0)</f>
        <v>#REF!</v>
      </c>
      <c r="AY37" s="19" t="e">
        <f>IF(AX34&lt;$C$23,0,AX37)</f>
        <v>#REF!</v>
      </c>
      <c r="AZ37" s="21">
        <v>0</v>
      </c>
      <c r="BA37" s="22" t="e">
        <f t="shared" si="1"/>
        <v>#REF!</v>
      </c>
      <c r="BC37" t="s">
        <v>176</v>
      </c>
      <c r="BD37">
        <v>360</v>
      </c>
      <c r="BE37">
        <v>47.2</v>
      </c>
      <c r="BF37">
        <v>38.4</v>
      </c>
      <c r="BG37">
        <v>-0.31</v>
      </c>
      <c r="BH37" s="12">
        <v>9.3800000000000008</v>
      </c>
      <c r="BI37" s="12">
        <v>9.7799999999999994</v>
      </c>
      <c r="BJ37" s="12"/>
      <c r="BK37" s="12"/>
      <c r="BM37" t="s">
        <v>177</v>
      </c>
      <c r="BN37">
        <v>50</v>
      </c>
      <c r="BO37">
        <v>82500</v>
      </c>
      <c r="BP37">
        <v>1100</v>
      </c>
      <c r="BQ37">
        <v>439</v>
      </c>
      <c r="BR37" s="39">
        <v>44.5</v>
      </c>
      <c r="BS37" s="33">
        <v>44.5</v>
      </c>
      <c r="BT37" s="33">
        <v>44.5</v>
      </c>
      <c r="BU37" s="33">
        <v>44.5</v>
      </c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4"/>
      <c r="CG37" s="33">
        <v>28.5</v>
      </c>
      <c r="CH37" s="33">
        <v>28.5</v>
      </c>
      <c r="CI37" s="33">
        <v>28.5</v>
      </c>
      <c r="CJ37" s="33">
        <v>28.5</v>
      </c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4"/>
      <c r="CV37">
        <v>3</v>
      </c>
      <c r="CW37">
        <v>3</v>
      </c>
      <c r="CX37">
        <v>3</v>
      </c>
      <c r="CY37">
        <v>3</v>
      </c>
      <c r="DK37" s="15"/>
      <c r="DL37" s="15"/>
    </row>
    <row r="38" spans="2:116" ht="15.75" customHeight="1">
      <c r="B38" t="s">
        <v>178</v>
      </c>
      <c r="C38">
        <f t="shared" si="24"/>
        <v>0</v>
      </c>
      <c r="F38" s="26">
        <v>5</v>
      </c>
      <c r="G38" s="27">
        <f t="shared" si="25"/>
        <v>0</v>
      </c>
      <c r="H38" s="21">
        <f>IF(AND($F38&lt;=J$2,H34&gt;0),H34*$F38,0)</f>
        <v>30</v>
      </c>
      <c r="I38" s="19">
        <f>IF(H34&lt;$C$23,0,H38)</f>
        <v>30</v>
      </c>
      <c r="J38" s="20">
        <v>0</v>
      </c>
      <c r="K38" s="21" t="e">
        <f>IF(AND($F38&lt;=M$2,K34&gt;0),K34*$F38,0)</f>
        <v>#REF!</v>
      </c>
      <c r="L38" s="19" t="e">
        <f>IF(K34&lt;$C$23,0,K38)</f>
        <v>#REF!</v>
      </c>
      <c r="M38" s="21">
        <v>0</v>
      </c>
      <c r="N38" s="21" t="e">
        <f>IF(AND($F38&lt;=P$2,N34&gt;0),N34*$F38,0)</f>
        <v>#REF!</v>
      </c>
      <c r="O38" s="19" t="e">
        <f>IF(N34&lt;$C$23,0,N38)</f>
        <v>#REF!</v>
      </c>
      <c r="P38" s="21">
        <v>0</v>
      </c>
      <c r="Q38" s="21" t="e">
        <f>IF(AND($F38&lt;=S$2,Q34&gt;0),Q34*$F38,0)</f>
        <v>#REF!</v>
      </c>
      <c r="R38" s="19" t="e">
        <f>IF(Q34&lt;$C$23,0,Q38)</f>
        <v>#REF!</v>
      </c>
      <c r="S38" s="21">
        <v>0</v>
      </c>
      <c r="T38" s="21" t="e">
        <f>IF(AND($F38&lt;=V$2,T34&gt;0),T34*$F38,0)</f>
        <v>#REF!</v>
      </c>
      <c r="U38" s="19" t="e">
        <f>IF(T34&lt;$C$23,0,T38)</f>
        <v>#REF!</v>
      </c>
      <c r="V38" s="21">
        <v>0</v>
      </c>
      <c r="W38" s="21" t="e">
        <f>IF(AND($F38&lt;=Y$2,W34&gt;0),W34*$F38,0)</f>
        <v>#REF!</v>
      </c>
      <c r="X38" s="19" t="e">
        <f>IF(W34&lt;$C$23,0,W38)</f>
        <v>#REF!</v>
      </c>
      <c r="Y38" s="21">
        <v>0</v>
      </c>
      <c r="Z38" s="21" t="e">
        <f>IF(AND($F38&lt;=AB$2,Z34&gt;0),Z34*$F38,0)</f>
        <v>#REF!</v>
      </c>
      <c r="AA38" s="19" t="e">
        <f>IF(Z34&lt;$C$23,0,Z38)</f>
        <v>#REF!</v>
      </c>
      <c r="AB38" s="21">
        <v>0</v>
      </c>
      <c r="AC38" s="21" t="e">
        <f>IF(AND($F38&lt;=AE$2,AC34&gt;0),AC34*$F38,0)</f>
        <v>#REF!</v>
      </c>
      <c r="AD38" s="19" t="e">
        <f>IF(AC34&lt;$C$23,0,AC38)</f>
        <v>#REF!</v>
      </c>
      <c r="AE38" s="21">
        <v>0</v>
      </c>
      <c r="AF38" s="21" t="e">
        <f>IF(AND($F38&lt;=AH$2,AF34&gt;0),AF34*$F38,0)</f>
        <v>#REF!</v>
      </c>
      <c r="AG38" s="19" t="e">
        <f>IF(AF34&lt;$C$23,0,AF38)</f>
        <v>#REF!</v>
      </c>
      <c r="AH38" s="21">
        <v>0</v>
      </c>
      <c r="AI38" s="21" t="e">
        <f>IF(AND($F38&lt;=AK$2,AI34&gt;0),AI34*$F38,0)</f>
        <v>#REF!</v>
      </c>
      <c r="AJ38" s="19" t="e">
        <f>IF(AI34&lt;$C$23,0,AI38)</f>
        <v>#REF!</v>
      </c>
      <c r="AK38" s="21">
        <v>0</v>
      </c>
      <c r="AL38" s="21" t="e">
        <f>IF(AND($F38&lt;=AN$2,AL34&gt;0),AL34*$F38,0)</f>
        <v>#REF!</v>
      </c>
      <c r="AM38" s="19" t="e">
        <f>IF(AL34&lt;$C$23,0,AL38)</f>
        <v>#REF!</v>
      </c>
      <c r="AN38" s="21">
        <v>0</v>
      </c>
      <c r="AO38" s="21" t="e">
        <f>IF(AND($F38&lt;=AQ$2,AO34&gt;0),AO34*$F38,0)</f>
        <v>#REF!</v>
      </c>
      <c r="AP38" s="19" t="e">
        <f>IF(AO34&lt;$C$23,0,AO38)</f>
        <v>#REF!</v>
      </c>
      <c r="AQ38" s="21">
        <v>0</v>
      </c>
      <c r="AR38" s="21" t="e">
        <f>IF(AND($F38&lt;=AT$2,AR34&gt;0),AR34*$F38,0)</f>
        <v>#REF!</v>
      </c>
      <c r="AS38" s="19" t="e">
        <f>IF(AR34&lt;$C$23,0,AR38)</f>
        <v>#REF!</v>
      </c>
      <c r="AT38" s="21">
        <v>0</v>
      </c>
      <c r="AU38" s="21" t="e">
        <f>IF(AND($F38&lt;=AW$2,AU34&gt;0),AU34*$F38,0)</f>
        <v>#REF!</v>
      </c>
      <c r="AV38" s="19" t="e">
        <f>IF(AU34&lt;$C$23,0,AU38)</f>
        <v>#REF!</v>
      </c>
      <c r="AW38" s="21">
        <v>0</v>
      </c>
      <c r="AX38" s="21" t="e">
        <f>IF(AND($F38&lt;=AZ$2,AX34&gt;0),AX34*$F38,0)</f>
        <v>#REF!</v>
      </c>
      <c r="AY38" s="19" t="e">
        <f>IF(AX34&lt;$C$23,0,AX38)</f>
        <v>#REF!</v>
      </c>
      <c r="AZ38" s="21">
        <v>0</v>
      </c>
      <c r="BA38" s="22" t="e">
        <f t="shared" si="1"/>
        <v>#REF!</v>
      </c>
      <c r="BC38" t="s">
        <v>179</v>
      </c>
      <c r="BD38">
        <v>400</v>
      </c>
      <c r="BE38">
        <v>51.4</v>
      </c>
      <c r="BF38">
        <v>42</v>
      </c>
      <c r="BG38">
        <v>-0.31</v>
      </c>
      <c r="BH38" s="12">
        <v>9.35</v>
      </c>
      <c r="BI38" s="12">
        <v>9.8699999999999992</v>
      </c>
      <c r="BJ38" s="12"/>
      <c r="BK38" s="12"/>
      <c r="BM38" t="s">
        <v>180</v>
      </c>
      <c r="BN38">
        <v>5</v>
      </c>
      <c r="BO38">
        <v>8250</v>
      </c>
      <c r="BP38">
        <v>600</v>
      </c>
      <c r="BQ38">
        <v>110</v>
      </c>
      <c r="BR38" s="39">
        <v>15</v>
      </c>
      <c r="BS38" s="33">
        <v>15</v>
      </c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4"/>
      <c r="CG38" s="33">
        <v>12</v>
      </c>
      <c r="CH38" s="33">
        <v>12</v>
      </c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4"/>
      <c r="CV38">
        <v>1</v>
      </c>
      <c r="CW38">
        <v>1</v>
      </c>
      <c r="DK38" s="25"/>
      <c r="DL38" s="25"/>
    </row>
    <row r="39" spans="2:116" ht="15.75" customHeight="1">
      <c r="B39" t="s">
        <v>181</v>
      </c>
      <c r="C39">
        <f t="shared" si="24"/>
        <v>0</v>
      </c>
      <c r="F39" s="26">
        <v>1</v>
      </c>
      <c r="G39" s="27">
        <f t="shared" ref="G39:G43" si="26">IF(OR(J39&lt;&gt;0,M39&lt;&gt;0,P39&lt;&gt;0,S39&lt;&gt;0,V39&lt;&gt;0,Y39&lt;&gt;0,AB39&lt;&gt;0,AE39&lt;&gt;0,AH39&lt;&gt;0,AK39&lt;&gt;0,AN39&lt;&gt;0,AQ39&lt;&gt;0,AT39&lt;&gt;0,AW39&lt;&gt;0,AZ39&lt;&gt;0),$C$26-7,0)</f>
        <v>0</v>
      </c>
      <c r="H39" s="21">
        <f>IF(AND($F39&lt;=J$2,H34&gt;0),H34-1,0)</f>
        <v>5</v>
      </c>
      <c r="I39" s="19">
        <f>IF(H39&lt;$C$23,0,H39)</f>
        <v>5</v>
      </c>
      <c r="J39" s="20">
        <v>0</v>
      </c>
      <c r="K39" s="21" t="e">
        <f>IF(AND($F39&lt;=M$2,K34&gt;0),K34-1,0)</f>
        <v>#REF!</v>
      </c>
      <c r="L39" s="19" t="e">
        <f>IF(K39&lt;$C$23,0,K39)</f>
        <v>#REF!</v>
      </c>
      <c r="M39" s="21">
        <v>0</v>
      </c>
      <c r="N39" s="21" t="e">
        <f>IF(AND($F39&lt;=P$2,N34&gt;0),N34-1,0)</f>
        <v>#REF!</v>
      </c>
      <c r="O39" s="19" t="e">
        <f>IF(N39&lt;$C$23,0,N39)</f>
        <v>#REF!</v>
      </c>
      <c r="P39" s="21">
        <v>0</v>
      </c>
      <c r="Q39" s="21" t="e">
        <f>IF(AND($F39&lt;=S$2,Q34&gt;0),Q34-1,0)</f>
        <v>#REF!</v>
      </c>
      <c r="R39" s="19" t="e">
        <f>IF(Q39&lt;$C$23,0,Q39)</f>
        <v>#REF!</v>
      </c>
      <c r="S39" s="21">
        <v>0</v>
      </c>
      <c r="T39" s="21" t="e">
        <f>IF(AND($F39&lt;=V$2,T34&gt;0),T34-1,0)</f>
        <v>#REF!</v>
      </c>
      <c r="U39" s="19" t="e">
        <f>IF(T39&lt;$C$23,0,T39)</f>
        <v>#REF!</v>
      </c>
      <c r="V39" s="21">
        <v>0</v>
      </c>
      <c r="W39" s="21" t="e">
        <f>IF(AND($F39&lt;=Y$2,W34&gt;0),W34-1,0)</f>
        <v>#REF!</v>
      </c>
      <c r="X39" s="19" t="e">
        <f>IF(W39&lt;$C$23,0,W39)</f>
        <v>#REF!</v>
      </c>
      <c r="Y39" s="21">
        <v>0</v>
      </c>
      <c r="Z39" s="21" t="e">
        <f>IF(AND($F39&lt;=AB$2,Z34&gt;0),Z34-1,0)</f>
        <v>#REF!</v>
      </c>
      <c r="AA39" s="19" t="e">
        <f>IF(Z39&lt;$C$23,0,Z39)</f>
        <v>#REF!</v>
      </c>
      <c r="AB39" s="21">
        <v>0</v>
      </c>
      <c r="AC39" s="21" t="e">
        <f>IF(AND($F39&lt;=AE$2,AC34&gt;0),AC34-1,0)</f>
        <v>#REF!</v>
      </c>
      <c r="AD39" s="19" t="e">
        <f>IF(AC39&lt;$C$23,0,AC39)</f>
        <v>#REF!</v>
      </c>
      <c r="AE39" s="21">
        <v>0</v>
      </c>
      <c r="AF39" s="21" t="e">
        <f>IF(AND($F39&lt;=AH$2,AF34&gt;0),AF34-1,0)</f>
        <v>#REF!</v>
      </c>
      <c r="AG39" s="19" t="e">
        <f>IF(AF39&lt;$C$23,0,AF39)</f>
        <v>#REF!</v>
      </c>
      <c r="AH39" s="21">
        <v>0</v>
      </c>
      <c r="AI39" s="21" t="e">
        <f>IF(AND($F39&lt;=AK$2,AI34&gt;0),AI34-1,0)</f>
        <v>#REF!</v>
      </c>
      <c r="AJ39" s="19" t="e">
        <f>IF(AI39&lt;$C$23,0,AI39)</f>
        <v>#REF!</v>
      </c>
      <c r="AK39" s="21">
        <v>0</v>
      </c>
      <c r="AL39" s="21" t="e">
        <f>IF(AND($F39&lt;=AN$2,AL34&gt;0),AL34-1,0)</f>
        <v>#REF!</v>
      </c>
      <c r="AM39" s="19" t="e">
        <f>IF(AL39&lt;$C$23,0,AL39)</f>
        <v>#REF!</v>
      </c>
      <c r="AN39" s="21">
        <v>0</v>
      </c>
      <c r="AO39" s="21" t="e">
        <f>IF(AND($F39&lt;=AQ$2,AO34&gt;0),AO34-1,0)</f>
        <v>#REF!</v>
      </c>
      <c r="AP39" s="19" t="e">
        <f>IF(AO39&lt;$C$23,0,AO39)</f>
        <v>#REF!</v>
      </c>
      <c r="AQ39" s="21">
        <v>0</v>
      </c>
      <c r="AR39" s="21" t="e">
        <f>IF(AND($F39&lt;=AT$2,AR34&gt;0),AR34-1,0)</f>
        <v>#REF!</v>
      </c>
      <c r="AS39" s="19" t="e">
        <f>IF(AR39&lt;$C$23,0,AR39)</f>
        <v>#REF!</v>
      </c>
      <c r="AT39" s="21">
        <v>0</v>
      </c>
      <c r="AU39" s="21" t="e">
        <f>IF(AND($F39&lt;=AW$2,AU34&gt;0),AU34-1,0)</f>
        <v>#REF!</v>
      </c>
      <c r="AV39" s="19" t="e">
        <f>IF(AU39&lt;$C$23,0,AU39)</f>
        <v>#REF!</v>
      </c>
      <c r="AW39" s="21">
        <v>0</v>
      </c>
      <c r="AX39" s="21" t="e">
        <f>IF(AND($F39&lt;=AZ$2,AX34&gt;0),AX34-1,0)</f>
        <v>#REF!</v>
      </c>
      <c r="AY39" s="19" t="e">
        <f>IF(AX39&lt;$C$23,0,AX39)</f>
        <v>#REF!</v>
      </c>
      <c r="AZ39" s="21">
        <v>0</v>
      </c>
      <c r="BA39" s="22" t="e">
        <f t="shared" si="1"/>
        <v>#REF!</v>
      </c>
      <c r="BC39" s="40" t="s">
        <v>182</v>
      </c>
      <c r="BD39">
        <v>560</v>
      </c>
      <c r="BE39">
        <v>50.19</v>
      </c>
      <c r="BF39">
        <v>41.8</v>
      </c>
      <c r="BG39">
        <v>-0.246</v>
      </c>
      <c r="BH39" s="12">
        <v>13.4</v>
      </c>
      <c r="BI39" s="12">
        <v>14.25</v>
      </c>
      <c r="BJ39" s="12"/>
      <c r="BK39" s="12"/>
      <c r="BM39" t="s">
        <v>183</v>
      </c>
      <c r="BN39">
        <v>5</v>
      </c>
      <c r="BO39">
        <v>8250</v>
      </c>
      <c r="BP39">
        <v>600</v>
      </c>
      <c r="BQ39">
        <v>110</v>
      </c>
      <c r="BR39" s="39">
        <v>15</v>
      </c>
      <c r="BS39" s="33">
        <f t="shared" si="22"/>
        <v>15</v>
      </c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4"/>
      <c r="CG39" s="33">
        <v>12</v>
      </c>
      <c r="CH39" s="33">
        <v>12</v>
      </c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4"/>
      <c r="CV39">
        <v>1</v>
      </c>
      <c r="CW39">
        <v>1</v>
      </c>
      <c r="DK39" s="15"/>
      <c r="DL39" s="15"/>
    </row>
    <row r="40" spans="2:116" ht="15.75" customHeight="1">
      <c r="B40" t="s">
        <v>184</v>
      </c>
      <c r="C40">
        <f t="shared" si="24"/>
        <v>0</v>
      </c>
      <c r="F40" s="26">
        <v>2</v>
      </c>
      <c r="G40" s="27">
        <f t="shared" si="26"/>
        <v>0</v>
      </c>
      <c r="H40" s="21">
        <f>IF(AND($F40&lt;=J$2,H39&gt;0),H39*$F40,0)</f>
        <v>10</v>
      </c>
      <c r="I40" s="19">
        <f>IF(H39&lt;$C$23,0,H40)</f>
        <v>10</v>
      </c>
      <c r="J40" s="20">
        <v>0</v>
      </c>
      <c r="K40" s="21" t="e">
        <f>IF(AND($F40&lt;=M$2,K39&gt;0),K39*$F40,0)</f>
        <v>#REF!</v>
      </c>
      <c r="L40" s="19" t="e">
        <f>IF(K39&lt;$C$23,0,K40)</f>
        <v>#REF!</v>
      </c>
      <c r="M40" s="21">
        <v>0</v>
      </c>
      <c r="N40" s="21" t="e">
        <f>IF(AND($F40&lt;=P$2,N39&gt;0),N39*$F40,0)</f>
        <v>#REF!</v>
      </c>
      <c r="O40" s="19" t="e">
        <f>IF(N39&lt;$C$23,0,N40)</f>
        <v>#REF!</v>
      </c>
      <c r="P40" s="21">
        <v>0</v>
      </c>
      <c r="Q40" s="21" t="e">
        <f>IF(AND($F40&lt;=S$2,Q39&gt;0),Q39*$F40,0)</f>
        <v>#REF!</v>
      </c>
      <c r="R40" s="19" t="e">
        <f>IF(Q39&lt;$C$23,0,Q40)</f>
        <v>#REF!</v>
      </c>
      <c r="S40" s="21">
        <v>0</v>
      </c>
      <c r="T40" s="21" t="e">
        <f>IF(AND($F40&lt;=V$2,T39&gt;0),T39*$F40,0)</f>
        <v>#REF!</v>
      </c>
      <c r="U40" s="19" t="e">
        <f>IF(T39&lt;$C$23,0,T40)</f>
        <v>#REF!</v>
      </c>
      <c r="V40" s="21">
        <v>0</v>
      </c>
      <c r="W40" s="21" t="e">
        <f>IF(AND($F40&lt;=Y$2,W39&gt;0),W39*$F40,0)</f>
        <v>#REF!</v>
      </c>
      <c r="X40" s="19" t="e">
        <f>IF(W39&lt;$C$23,0,W40)</f>
        <v>#REF!</v>
      </c>
      <c r="Y40" s="21">
        <v>0</v>
      </c>
      <c r="Z40" s="21" t="e">
        <f>IF(AND($F40&lt;=AB$2,Z39&gt;0),Z39*$F40,0)</f>
        <v>#REF!</v>
      </c>
      <c r="AA40" s="19" t="e">
        <f>IF(Z39&lt;$C$23,0,Z40)</f>
        <v>#REF!</v>
      </c>
      <c r="AB40" s="21">
        <v>0</v>
      </c>
      <c r="AC40" s="21" t="e">
        <f>IF(AND($F40&lt;=AE$2,AC39&gt;0),AC39*$F40,0)</f>
        <v>#REF!</v>
      </c>
      <c r="AD40" s="19" t="e">
        <f>IF(AC39&lt;$C$23,0,AC40)</f>
        <v>#REF!</v>
      </c>
      <c r="AE40" s="21">
        <v>0</v>
      </c>
      <c r="AF40" s="21" t="e">
        <f>IF(AND($F40&lt;=AH$2,AF39&gt;0),AF39*$F40,0)</f>
        <v>#REF!</v>
      </c>
      <c r="AG40" s="19" t="e">
        <f>IF(AF39&lt;$C$23,0,AF40)</f>
        <v>#REF!</v>
      </c>
      <c r="AH40" s="21">
        <v>0</v>
      </c>
      <c r="AI40" s="21" t="e">
        <f>IF(AND($F40&lt;=AK$2,AI39&gt;0),AI39*$F40,0)</f>
        <v>#REF!</v>
      </c>
      <c r="AJ40" s="19" t="e">
        <f>IF(AI39&lt;$C$23,0,AI40)</f>
        <v>#REF!</v>
      </c>
      <c r="AK40" s="21">
        <v>0</v>
      </c>
      <c r="AL40" s="21" t="e">
        <f>IF(AND($F40&lt;=AN$2,AL39&gt;0),AL39*$F40,0)</f>
        <v>#REF!</v>
      </c>
      <c r="AM40" s="19" t="e">
        <f>IF(AL39&lt;$C$23,0,AL40)</f>
        <v>#REF!</v>
      </c>
      <c r="AN40" s="21">
        <v>0</v>
      </c>
      <c r="AO40" s="21" t="e">
        <f>IF(AND($F40&lt;=AQ$2,AO39&gt;0),AO39*$F40,0)</f>
        <v>#REF!</v>
      </c>
      <c r="AP40" s="19" t="e">
        <f>IF(AO39&lt;$C$23,0,AO40)</f>
        <v>#REF!</v>
      </c>
      <c r="AQ40" s="21">
        <v>0</v>
      </c>
      <c r="AR40" s="21" t="e">
        <f>IF(AND($F40&lt;=AT$2,AR39&gt;0),AR39*$F40,0)</f>
        <v>#REF!</v>
      </c>
      <c r="AS40" s="19" t="e">
        <f>IF(AR39&lt;$C$23,0,AR40)</f>
        <v>#REF!</v>
      </c>
      <c r="AT40" s="21">
        <v>0</v>
      </c>
      <c r="AU40" s="21" t="e">
        <f>IF(AND($F40&lt;=AW$2,AU39&gt;0),AU39*$F40,0)</f>
        <v>#REF!</v>
      </c>
      <c r="AV40" s="19" t="e">
        <f>IF(AU39&lt;$C$23,0,AU40)</f>
        <v>#REF!</v>
      </c>
      <c r="AW40" s="21">
        <v>0</v>
      </c>
      <c r="AX40" s="21" t="e">
        <f>IF(AND($F40&lt;=AZ$2,AX39&gt;0),AX39*$F40,0)</f>
        <v>#REF!</v>
      </c>
      <c r="AY40" s="19" t="e">
        <f>IF(AX39&lt;$C$23,0,AX40)</f>
        <v>#REF!</v>
      </c>
      <c r="AZ40" s="21">
        <v>0</v>
      </c>
      <c r="BA40" s="22" t="e">
        <f t="shared" si="1"/>
        <v>#REF!</v>
      </c>
      <c r="BC40" s="40" t="s">
        <v>185</v>
      </c>
      <c r="BD40">
        <v>585</v>
      </c>
      <c r="BE40">
        <v>52.7</v>
      </c>
      <c r="BF40">
        <v>44.04</v>
      </c>
      <c r="BG40">
        <v>-0.25</v>
      </c>
      <c r="BH40" s="12">
        <v>13.3</v>
      </c>
      <c r="BI40" s="12">
        <v>14.05</v>
      </c>
      <c r="BJ40" s="12"/>
      <c r="BK40" s="12"/>
      <c r="BM40" t="s">
        <v>186</v>
      </c>
      <c r="BN40">
        <v>5</v>
      </c>
      <c r="BO40">
        <v>8250</v>
      </c>
      <c r="BP40">
        <v>600</v>
      </c>
      <c r="BQ40">
        <v>110</v>
      </c>
      <c r="BR40" s="39">
        <v>15</v>
      </c>
      <c r="BS40" s="33">
        <v>15</v>
      </c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4"/>
      <c r="CG40" s="33">
        <v>12</v>
      </c>
      <c r="CH40" s="33">
        <v>12</v>
      </c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4"/>
      <c r="CV40">
        <v>1</v>
      </c>
      <c r="CW40">
        <v>1</v>
      </c>
      <c r="DK40" s="25"/>
      <c r="DL40" s="25"/>
    </row>
    <row r="41" spans="2:116" ht="15.75" customHeight="1">
      <c r="B41" t="s">
        <v>187</v>
      </c>
      <c r="C41">
        <f t="shared" si="24"/>
        <v>0</v>
      </c>
      <c r="F41" s="26">
        <v>3</v>
      </c>
      <c r="G41" s="27">
        <f t="shared" si="26"/>
        <v>0</v>
      </c>
      <c r="H41" s="21">
        <f>IF(AND($F41&lt;=J$2,H39&gt;0),H39*$F41,0)</f>
        <v>15</v>
      </c>
      <c r="I41" s="19">
        <f>IF(H39&lt;$C$23,0,H41)</f>
        <v>15</v>
      </c>
      <c r="J41" s="20">
        <v>0</v>
      </c>
      <c r="K41" s="21" t="e">
        <f>IF(AND($F41&lt;=M$2,K39&gt;0),K39*$F41,0)</f>
        <v>#REF!</v>
      </c>
      <c r="L41" s="19" t="e">
        <f>IF(K39&lt;$C$23,0,K41)</f>
        <v>#REF!</v>
      </c>
      <c r="M41" s="21">
        <v>0</v>
      </c>
      <c r="N41" s="21" t="e">
        <f>IF(AND($F41&lt;=P$2,N39&gt;0),N39*$F41,0)</f>
        <v>#REF!</v>
      </c>
      <c r="O41" s="19" t="e">
        <f>IF(N39&lt;$C$23,0,N41)</f>
        <v>#REF!</v>
      </c>
      <c r="P41" s="21">
        <v>0</v>
      </c>
      <c r="Q41" s="21" t="e">
        <f>IF(AND($F41&lt;=S$2,Q39&gt;0),Q39*$F41,0)</f>
        <v>#REF!</v>
      </c>
      <c r="R41" s="19" t="e">
        <f>IF(Q39&lt;$C$23,0,Q41)</f>
        <v>#REF!</v>
      </c>
      <c r="S41" s="21">
        <v>0</v>
      </c>
      <c r="T41" s="21" t="e">
        <f>IF(AND($F41&lt;=V$2,T39&gt;0),T39*$F41,0)</f>
        <v>#REF!</v>
      </c>
      <c r="U41" s="19" t="e">
        <f>IF(T39&lt;$C$23,0,T41)</f>
        <v>#REF!</v>
      </c>
      <c r="V41" s="21">
        <v>0</v>
      </c>
      <c r="W41" s="21" t="e">
        <f>IF(AND($F41&lt;=Y$2,W39&gt;0),W39*$F41,0)</f>
        <v>#REF!</v>
      </c>
      <c r="X41" s="19" t="e">
        <f>IF(W39&lt;$C$23,0,W41)</f>
        <v>#REF!</v>
      </c>
      <c r="Y41" s="21">
        <v>0</v>
      </c>
      <c r="Z41" s="21" t="e">
        <f>IF(AND($F41&lt;=AB$2,Z39&gt;0),Z39*$F41,0)</f>
        <v>#REF!</v>
      </c>
      <c r="AA41" s="19" t="e">
        <f>IF(Z39&lt;$C$23,0,Z41)</f>
        <v>#REF!</v>
      </c>
      <c r="AB41" s="21">
        <v>0</v>
      </c>
      <c r="AC41" s="21" t="e">
        <f>IF(AND($F41&lt;=AE$2,AC39&gt;0),AC39*$F41,0)</f>
        <v>#REF!</v>
      </c>
      <c r="AD41" s="19" t="e">
        <f>IF(AC39&lt;$C$23,0,AC41)</f>
        <v>#REF!</v>
      </c>
      <c r="AE41" s="21">
        <v>0</v>
      </c>
      <c r="AF41" s="21" t="e">
        <f>IF(AND($F41&lt;=AH$2,AF39&gt;0),AF39*$F41,0)</f>
        <v>#REF!</v>
      </c>
      <c r="AG41" s="19" t="e">
        <f>IF(AF39&lt;$C$23,0,AF41)</f>
        <v>#REF!</v>
      </c>
      <c r="AH41" s="21">
        <v>0</v>
      </c>
      <c r="AI41" s="21" t="e">
        <f>IF(AND($F41&lt;=AK$2,AI39&gt;0),AI39*$F41,0)</f>
        <v>#REF!</v>
      </c>
      <c r="AJ41" s="19" t="e">
        <f>IF(AI39&lt;$C$23,0,AI41)</f>
        <v>#REF!</v>
      </c>
      <c r="AK41" s="21">
        <v>0</v>
      </c>
      <c r="AL41" s="21" t="e">
        <f>IF(AND($F41&lt;=AN$2,AL39&gt;0),AL39*$F41,0)</f>
        <v>#REF!</v>
      </c>
      <c r="AM41" s="19" t="e">
        <f>IF(AL39&lt;$C$23,0,AL41)</f>
        <v>#REF!</v>
      </c>
      <c r="AN41" s="21">
        <v>0</v>
      </c>
      <c r="AO41" s="21" t="e">
        <f>IF(AND($F41&lt;=AQ$2,AO39&gt;0),AO39*$F41,0)</f>
        <v>#REF!</v>
      </c>
      <c r="AP41" s="19" t="e">
        <f>IF(AO39&lt;$C$23,0,AO41)</f>
        <v>#REF!</v>
      </c>
      <c r="AQ41" s="21">
        <v>0</v>
      </c>
      <c r="AR41" s="21" t="e">
        <f>IF(AND($F41&lt;=AT$2,AR39&gt;0),AR39*$F41,0)</f>
        <v>#REF!</v>
      </c>
      <c r="AS41" s="19" t="e">
        <f>IF(AR39&lt;$C$23,0,AR41)</f>
        <v>#REF!</v>
      </c>
      <c r="AT41" s="21">
        <v>0</v>
      </c>
      <c r="AU41" s="21" t="e">
        <f>IF(AND($F41&lt;=AW$2,AU39&gt;0),AU39*$F41,0)</f>
        <v>#REF!</v>
      </c>
      <c r="AV41" s="19" t="e">
        <f>IF(AU39&lt;$C$23,0,AU41)</f>
        <v>#REF!</v>
      </c>
      <c r="AW41" s="21">
        <v>0</v>
      </c>
      <c r="AX41" s="21" t="e">
        <f>IF(AND($F41&lt;=AZ$2,AX39&gt;0),AX39*$F41,0)</f>
        <v>#REF!</v>
      </c>
      <c r="AY41" s="19" t="e">
        <f>IF(AX39&lt;$C$23,0,AX41)</f>
        <v>#REF!</v>
      </c>
      <c r="AZ41" s="21">
        <v>0</v>
      </c>
      <c r="BA41" s="22" t="e">
        <f t="shared" si="1"/>
        <v>#REF!</v>
      </c>
      <c r="BC41" t="s">
        <v>188</v>
      </c>
      <c r="BD41" s="12">
        <v>610</v>
      </c>
      <c r="BE41" s="12">
        <v>48.74</v>
      </c>
      <c r="BF41" s="12">
        <v>40.56</v>
      </c>
      <c r="BG41" s="12">
        <v>-0.24</v>
      </c>
      <c r="BH41" s="12">
        <v>15.04</v>
      </c>
      <c r="BI41" s="12">
        <v>15.93</v>
      </c>
      <c r="BJ41" s="12"/>
      <c r="BK41" s="12"/>
      <c r="BM41" t="s">
        <v>189</v>
      </c>
      <c r="BN41">
        <v>60</v>
      </c>
      <c r="BO41">
        <v>72000</v>
      </c>
      <c r="BP41">
        <v>1100</v>
      </c>
      <c r="BQ41">
        <v>526</v>
      </c>
      <c r="BR41" s="39">
        <v>44.5</v>
      </c>
      <c r="BS41" s="33">
        <v>44.5</v>
      </c>
      <c r="BT41" s="33">
        <v>44.5</v>
      </c>
      <c r="BU41" s="33">
        <v>44.5</v>
      </c>
      <c r="BV41" s="33"/>
      <c r="BW41" s="33"/>
      <c r="BX41" s="33"/>
      <c r="BY41" s="33"/>
      <c r="BZ41" s="33"/>
      <c r="CA41" s="33"/>
      <c r="CB41" s="33"/>
      <c r="CC41" s="33"/>
      <c r="CD41" s="33"/>
      <c r="CE41" s="33"/>
      <c r="CF41" s="34"/>
      <c r="CG41" s="33">
        <v>28.5</v>
      </c>
      <c r="CH41" s="33">
        <v>28.5</v>
      </c>
      <c r="CI41" s="33">
        <v>28.5</v>
      </c>
      <c r="CJ41" s="33">
        <v>28.5</v>
      </c>
      <c r="CK41" s="33"/>
      <c r="CL41" s="33"/>
      <c r="CM41" s="33"/>
      <c r="CN41" s="33"/>
      <c r="CO41" s="33"/>
      <c r="CP41" s="33"/>
      <c r="CQ41" s="33"/>
      <c r="CR41" s="33"/>
      <c r="CS41" s="33"/>
      <c r="CT41" s="33"/>
      <c r="CU41" s="34"/>
      <c r="CV41">
        <v>2</v>
      </c>
      <c r="CW41">
        <v>2</v>
      </c>
      <c r="CX41">
        <v>2</v>
      </c>
      <c r="CY41">
        <v>2</v>
      </c>
      <c r="DK41" s="15"/>
      <c r="DL41" s="15"/>
    </row>
    <row r="42" spans="2:116" ht="15.75" customHeight="1">
      <c r="B42" t="s">
        <v>190</v>
      </c>
      <c r="C42">
        <f t="shared" si="24"/>
        <v>0</v>
      </c>
      <c r="F42" s="26">
        <v>4</v>
      </c>
      <c r="G42" s="27">
        <f t="shared" si="26"/>
        <v>0</v>
      </c>
      <c r="H42" s="21">
        <f>IF(AND($F42&lt;=J$2,H39&gt;0),H39*$F42,0)</f>
        <v>20</v>
      </c>
      <c r="I42" s="19">
        <f>IF(H39&lt;$C$23,0,H42)</f>
        <v>20</v>
      </c>
      <c r="J42" s="20">
        <v>0</v>
      </c>
      <c r="K42" s="21" t="e">
        <f>IF(AND($F42&lt;=M$2,K39&gt;0),K39*$F42,0)</f>
        <v>#REF!</v>
      </c>
      <c r="L42" s="19" t="e">
        <f>IF(K39&lt;$C$23,0,K42)</f>
        <v>#REF!</v>
      </c>
      <c r="M42" s="21">
        <v>0</v>
      </c>
      <c r="N42" s="21" t="e">
        <f>IF(AND($F42&lt;=P$2,N39&gt;0),N39*$F42,0)</f>
        <v>#REF!</v>
      </c>
      <c r="O42" s="19" t="e">
        <f>IF(N39&lt;$C$23,0,N42)</f>
        <v>#REF!</v>
      </c>
      <c r="P42" s="21">
        <v>0</v>
      </c>
      <c r="Q42" s="21" t="e">
        <f>IF(AND($F42&lt;=S$2,Q39&gt;0),Q39*$F42,0)</f>
        <v>#REF!</v>
      </c>
      <c r="R42" s="19" t="e">
        <f>IF(Q39&lt;$C$23,0,Q42)</f>
        <v>#REF!</v>
      </c>
      <c r="S42" s="21">
        <v>0</v>
      </c>
      <c r="T42" s="21" t="e">
        <f>IF(AND($F42&lt;=V$2,T39&gt;0),T39*$F42,0)</f>
        <v>#REF!</v>
      </c>
      <c r="U42" s="19" t="e">
        <f>IF(T39&lt;$C$23,0,T42)</f>
        <v>#REF!</v>
      </c>
      <c r="V42" s="21">
        <v>0</v>
      </c>
      <c r="W42" s="21" t="e">
        <f>IF(AND($F42&lt;=Y$2,W39&gt;0),W39*$F42,0)</f>
        <v>#REF!</v>
      </c>
      <c r="X42" s="19" t="e">
        <f>IF(W39&lt;$C$23,0,W42)</f>
        <v>#REF!</v>
      </c>
      <c r="Y42" s="21">
        <v>0</v>
      </c>
      <c r="Z42" s="21" t="e">
        <f>IF(AND($F42&lt;=AB$2,Z39&gt;0),Z39*$F42,0)</f>
        <v>#REF!</v>
      </c>
      <c r="AA42" s="19" t="e">
        <f>IF(Z39&lt;$C$23,0,Z42)</f>
        <v>#REF!</v>
      </c>
      <c r="AB42" s="21">
        <v>0</v>
      </c>
      <c r="AC42" s="21" t="e">
        <f>IF(AND($F42&lt;=AE$2,AC39&gt;0),AC39*$F42,0)</f>
        <v>#REF!</v>
      </c>
      <c r="AD42" s="19" t="e">
        <f>IF(AC39&lt;$C$23,0,AC42)</f>
        <v>#REF!</v>
      </c>
      <c r="AE42" s="21">
        <v>0</v>
      </c>
      <c r="AF42" s="21" t="e">
        <f>IF(AND($F42&lt;=AH$2,AF39&gt;0),AF39*$F42,0)</f>
        <v>#REF!</v>
      </c>
      <c r="AG42" s="19" t="e">
        <f>IF(AF39&lt;$C$23,0,AF42)</f>
        <v>#REF!</v>
      </c>
      <c r="AH42" s="21">
        <v>0</v>
      </c>
      <c r="AI42" s="21" t="e">
        <f>IF(AND($F42&lt;=AK$2,AI39&gt;0),AI39*$F42,0)</f>
        <v>#REF!</v>
      </c>
      <c r="AJ42" s="19" t="e">
        <f>IF(AI39&lt;$C$23,0,AI42)</f>
        <v>#REF!</v>
      </c>
      <c r="AK42" s="21">
        <v>0</v>
      </c>
      <c r="AL42" s="21" t="e">
        <f>IF(AND($F42&lt;=AN$2,AL39&gt;0),AL39*$F42,0)</f>
        <v>#REF!</v>
      </c>
      <c r="AM42" s="19" t="e">
        <f>IF(AL39&lt;$C$23,0,AL42)</f>
        <v>#REF!</v>
      </c>
      <c r="AN42" s="21">
        <v>0</v>
      </c>
      <c r="AO42" s="21" t="e">
        <f>IF(AND($F42&lt;=AQ$2,AO39&gt;0),AO39*$F42,0)</f>
        <v>#REF!</v>
      </c>
      <c r="AP42" s="19" t="e">
        <f>IF(AO39&lt;$C$23,0,AO42)</f>
        <v>#REF!</v>
      </c>
      <c r="AQ42" s="21">
        <v>0</v>
      </c>
      <c r="AR42" s="21" t="e">
        <f>IF(AND($F42&lt;=AT$2,AR39&gt;0),AR39*$F42,0)</f>
        <v>#REF!</v>
      </c>
      <c r="AS42" s="19" t="e">
        <f>IF(AR39&lt;$C$23,0,AR42)</f>
        <v>#REF!</v>
      </c>
      <c r="AT42" s="21">
        <v>0</v>
      </c>
      <c r="AU42" s="21" t="e">
        <f>IF(AND($F42&lt;=AW$2,AU39&gt;0),AU39*$F42,0)</f>
        <v>#REF!</v>
      </c>
      <c r="AV42" s="19" t="e">
        <f>IF(AU39&lt;$C$23,0,AU42)</f>
        <v>#REF!</v>
      </c>
      <c r="AW42" s="21">
        <v>0</v>
      </c>
      <c r="AX42" s="21" t="e">
        <f>IF(AND($F42&lt;=AZ$2,AX39&gt;0),AX39*$F42,0)</f>
        <v>#REF!</v>
      </c>
      <c r="AY42" s="19" t="e">
        <f>IF(AX39&lt;$C$23,0,AX42)</f>
        <v>#REF!</v>
      </c>
      <c r="AZ42" s="21">
        <v>0</v>
      </c>
      <c r="BA42" s="22" t="e">
        <f t="shared" si="1"/>
        <v>#REF!</v>
      </c>
      <c r="BC42" t="s">
        <v>191</v>
      </c>
      <c r="BD42">
        <v>590</v>
      </c>
      <c r="BE42">
        <v>52.9</v>
      </c>
      <c r="BF42">
        <v>44.15</v>
      </c>
      <c r="BG42">
        <v>-0.25900000000000001</v>
      </c>
      <c r="BH42">
        <v>13.37</v>
      </c>
      <c r="BI42">
        <v>14.03</v>
      </c>
      <c r="BM42" t="s">
        <v>192</v>
      </c>
      <c r="BN42">
        <v>75</v>
      </c>
      <c r="BO42">
        <v>126000</v>
      </c>
      <c r="BP42">
        <v>1100</v>
      </c>
      <c r="BQ42">
        <v>195</v>
      </c>
      <c r="BR42" s="39">
        <v>40</v>
      </c>
      <c r="BS42" s="33">
        <v>40</v>
      </c>
      <c r="BT42" s="33">
        <v>40</v>
      </c>
      <c r="BU42" s="33">
        <v>40</v>
      </c>
      <c r="BV42" s="33">
        <v>40</v>
      </c>
      <c r="BW42" s="33">
        <v>40</v>
      </c>
      <c r="BX42" s="33">
        <v>40</v>
      </c>
      <c r="BY42" s="33">
        <v>40</v>
      </c>
      <c r="BZ42" s="33">
        <v>40</v>
      </c>
      <c r="CA42" s="33"/>
      <c r="CB42" s="33"/>
      <c r="CC42" s="33"/>
      <c r="CD42" s="33"/>
      <c r="CE42" s="33"/>
      <c r="CF42" s="34"/>
      <c r="CG42" s="33">
        <v>26</v>
      </c>
      <c r="CH42" s="33">
        <v>26</v>
      </c>
      <c r="CI42" s="33">
        <v>26</v>
      </c>
      <c r="CJ42" s="33">
        <v>26</v>
      </c>
      <c r="CK42" s="33">
        <v>26</v>
      </c>
      <c r="CL42" s="33">
        <v>26</v>
      </c>
      <c r="CM42" s="33">
        <v>26</v>
      </c>
      <c r="CN42" s="33">
        <v>26</v>
      </c>
      <c r="CO42" s="33">
        <v>26</v>
      </c>
      <c r="CP42" s="33">
        <v>26</v>
      </c>
      <c r="CQ42" s="33"/>
      <c r="CR42" s="33"/>
      <c r="CS42" s="33"/>
      <c r="CT42" s="33"/>
      <c r="CU42" s="34"/>
      <c r="CV42">
        <v>2</v>
      </c>
      <c r="CW42">
        <v>2</v>
      </c>
      <c r="CX42">
        <v>2</v>
      </c>
      <c r="CY42">
        <v>2</v>
      </c>
      <c r="CZ42">
        <v>2</v>
      </c>
      <c r="DA42">
        <v>2</v>
      </c>
      <c r="DB42">
        <v>2</v>
      </c>
      <c r="DC42">
        <v>2</v>
      </c>
      <c r="DD42">
        <v>2</v>
      </c>
      <c r="DK42" s="41"/>
      <c r="DL42" s="41"/>
    </row>
    <row r="43" spans="2:116" ht="15.75" customHeight="1">
      <c r="B43" t="s">
        <v>193</v>
      </c>
      <c r="C43">
        <f t="shared" si="24"/>
        <v>0</v>
      </c>
      <c r="F43" s="26">
        <v>5</v>
      </c>
      <c r="G43" s="27">
        <f t="shared" si="26"/>
        <v>0</v>
      </c>
      <c r="H43" s="21">
        <f>IF(AND($F43&lt;=J$2,H39&gt;0),H39*$F43,0)</f>
        <v>25</v>
      </c>
      <c r="I43" s="19">
        <f>IF(H39&lt;$C$23,0,H43)</f>
        <v>25</v>
      </c>
      <c r="J43" s="20">
        <v>0</v>
      </c>
      <c r="K43" s="21" t="e">
        <f>IF(AND($F43&lt;=M$2,K39&gt;0),K39*$F43,0)</f>
        <v>#REF!</v>
      </c>
      <c r="L43" s="19" t="e">
        <f>IF(K39&lt;$C$23,0,K43)</f>
        <v>#REF!</v>
      </c>
      <c r="M43" s="21">
        <v>0</v>
      </c>
      <c r="N43" s="21" t="e">
        <f>IF(AND($F43&lt;=P$2,N39&gt;0),N39*$F43,0)</f>
        <v>#REF!</v>
      </c>
      <c r="O43" s="19" t="e">
        <f>IF(N39&lt;$C$23,0,N43)</f>
        <v>#REF!</v>
      </c>
      <c r="P43" s="21">
        <v>0</v>
      </c>
      <c r="Q43" s="21" t="e">
        <f>IF(AND($F43&lt;=S$2,Q39&gt;0),Q39*$F43,0)</f>
        <v>#REF!</v>
      </c>
      <c r="R43" s="19" t="e">
        <f>IF(Q39&lt;$C$23,0,Q43)</f>
        <v>#REF!</v>
      </c>
      <c r="S43" s="21">
        <v>0</v>
      </c>
      <c r="T43" s="21" t="e">
        <f>IF(AND($F43&lt;=V$2,T39&gt;0),T39*$F43,0)</f>
        <v>#REF!</v>
      </c>
      <c r="U43" s="19" t="e">
        <f>IF(T39&lt;$C$23,0,T43)</f>
        <v>#REF!</v>
      </c>
      <c r="V43" s="21">
        <v>0</v>
      </c>
      <c r="W43" s="21" t="e">
        <f>IF(AND($F43&lt;=Y$2,W39&gt;0),W39*$F43,0)</f>
        <v>#REF!</v>
      </c>
      <c r="X43" s="19" t="e">
        <f>IF(W39&lt;$C$23,0,W43)</f>
        <v>#REF!</v>
      </c>
      <c r="Y43" s="21">
        <v>0</v>
      </c>
      <c r="Z43" s="21" t="e">
        <f>IF(AND($F43&lt;=AB$2,Z39&gt;0),Z39*$F43,0)</f>
        <v>#REF!</v>
      </c>
      <c r="AA43" s="19" t="e">
        <f>IF(Z39&lt;$C$23,0,Z43)</f>
        <v>#REF!</v>
      </c>
      <c r="AB43" s="21">
        <v>0</v>
      </c>
      <c r="AC43" s="21" t="e">
        <f>IF(AND($F43&lt;=AE$2,AC39&gt;0),AC39*$F43,0)</f>
        <v>#REF!</v>
      </c>
      <c r="AD43" s="19" t="e">
        <f>IF(AC39&lt;$C$23,0,AC43)</f>
        <v>#REF!</v>
      </c>
      <c r="AE43" s="21">
        <v>0</v>
      </c>
      <c r="AF43" s="21" t="e">
        <f>IF(AND($F43&lt;=AH$2,AF39&gt;0),AF39*$F43,0)</f>
        <v>#REF!</v>
      </c>
      <c r="AG43" s="19" t="e">
        <f>IF(AF39&lt;$C$23,0,AF43)</f>
        <v>#REF!</v>
      </c>
      <c r="AH43" s="21">
        <v>0</v>
      </c>
      <c r="AI43" s="21" t="e">
        <f>IF(AND($F43&lt;=AK$2,AI39&gt;0),AI39*$F43,0)</f>
        <v>#REF!</v>
      </c>
      <c r="AJ43" s="19" t="e">
        <f>IF(AI39&lt;$C$23,0,AI43)</f>
        <v>#REF!</v>
      </c>
      <c r="AK43" s="21">
        <v>0</v>
      </c>
      <c r="AL43" s="21" t="e">
        <f>IF(AND($F43&lt;=AN$2,AL39&gt;0),AL39*$F43,0)</f>
        <v>#REF!</v>
      </c>
      <c r="AM43" s="19" t="e">
        <f>IF(AL39&lt;$C$23,0,AL43)</f>
        <v>#REF!</v>
      </c>
      <c r="AN43" s="21">
        <v>0</v>
      </c>
      <c r="AO43" s="21" t="e">
        <f>IF(AND($F43&lt;=AQ$2,AO39&gt;0),AO39*$F43,0)</f>
        <v>#REF!</v>
      </c>
      <c r="AP43" s="19" t="e">
        <f>IF(AO39&lt;$C$23,0,AO43)</f>
        <v>#REF!</v>
      </c>
      <c r="AQ43" s="21">
        <v>0</v>
      </c>
      <c r="AR43" s="21" t="e">
        <f>IF(AND($F43&lt;=AT$2,AR39&gt;0),AR39*$F43,0)</f>
        <v>#REF!</v>
      </c>
      <c r="AS43" s="19" t="e">
        <f>IF(AR39&lt;$C$23,0,AR43)</f>
        <v>#REF!</v>
      </c>
      <c r="AT43" s="21">
        <v>0</v>
      </c>
      <c r="AU43" s="21" t="e">
        <f>IF(AND($F43&lt;=AW$2,AU39&gt;0),AU39*$F43,0)</f>
        <v>#REF!</v>
      </c>
      <c r="AV43" s="19" t="e">
        <f>IF(AU39&lt;$C$23,0,AU43)</f>
        <v>#REF!</v>
      </c>
      <c r="AW43" s="21">
        <v>0</v>
      </c>
      <c r="AX43" s="21" t="e">
        <f>IF(AND($F43&lt;=AZ$2,AX39&gt;0),AX39*$F43,0)</f>
        <v>#REF!</v>
      </c>
      <c r="AY43" s="19" t="e">
        <f>IF(AX39&lt;$C$23,0,AX43)</f>
        <v>#REF!</v>
      </c>
      <c r="AZ43" s="21">
        <v>0</v>
      </c>
      <c r="BA43" s="22" t="e">
        <f t="shared" si="1"/>
        <v>#REF!</v>
      </c>
      <c r="BC43" t="s">
        <v>194</v>
      </c>
      <c r="BD43">
        <v>375</v>
      </c>
      <c r="BE43">
        <v>47.43</v>
      </c>
      <c r="BF43">
        <v>38.869999999999997</v>
      </c>
      <c r="BG43">
        <v>-0.3</v>
      </c>
      <c r="BH43" s="12"/>
      <c r="BI43" s="12"/>
      <c r="BJ43" s="12"/>
      <c r="BK43" s="12"/>
      <c r="BM43" t="s">
        <v>195</v>
      </c>
      <c r="BN43">
        <v>7</v>
      </c>
      <c r="BO43">
        <v>11550</v>
      </c>
      <c r="BP43">
        <v>600</v>
      </c>
      <c r="BQ43">
        <v>120</v>
      </c>
      <c r="BR43" s="39">
        <v>15</v>
      </c>
      <c r="BS43" s="33">
        <v>30</v>
      </c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4"/>
      <c r="CG43" s="33">
        <v>12.5</v>
      </c>
      <c r="CH43" s="33">
        <v>25</v>
      </c>
      <c r="CI43" s="33"/>
      <c r="CJ43" s="33"/>
      <c r="CK43" s="33"/>
      <c r="CL43" s="33"/>
      <c r="CM43" s="33"/>
      <c r="CN43" s="33"/>
      <c r="CO43" s="33"/>
      <c r="CP43" s="33"/>
      <c r="CQ43" s="33"/>
      <c r="CR43" s="33"/>
      <c r="CS43" s="33"/>
      <c r="CT43" s="33"/>
      <c r="CU43" s="34"/>
      <c r="CV43">
        <v>1</v>
      </c>
      <c r="CW43">
        <v>2</v>
      </c>
      <c r="DK43" s="15"/>
      <c r="DL43" s="15"/>
    </row>
    <row r="44" spans="2:116" ht="15.75" customHeight="1">
      <c r="B44" t="s">
        <v>196</v>
      </c>
      <c r="C44">
        <f t="shared" si="24"/>
        <v>0</v>
      </c>
      <c r="F44" s="26">
        <v>1</v>
      </c>
      <c r="G44" s="27">
        <f t="shared" ref="G44:G48" si="27">IF(OR(J44&lt;&gt;0,M44&lt;&gt;0,P44&lt;&gt;0,S44&lt;&gt;0,V44&lt;&gt;0,Y44&lt;&gt;0,AB44&lt;&gt;0,AE44&lt;&gt;0,AH44&lt;&gt;0,AK44&lt;&gt;0,AN44&lt;&gt;0,AQ44&lt;&gt;0,AT44&lt;&gt;0,AW44&lt;&gt;0,AZ44&lt;&gt;0),$C$26-8,0)</f>
        <v>0</v>
      </c>
      <c r="H44" s="21">
        <f>IF(AND($F44&lt;=J$2,H39&gt;0),H39-1,0)</f>
        <v>4</v>
      </c>
      <c r="I44" s="19">
        <f>IF(H44&lt;$C$23,0,H44)</f>
        <v>4</v>
      </c>
      <c r="J44" s="20">
        <v>0</v>
      </c>
      <c r="K44" s="21" t="e">
        <f>IF(AND($F44&lt;=M$2,K39&gt;0),K39-1,0)</f>
        <v>#REF!</v>
      </c>
      <c r="L44" s="19" t="e">
        <f>IF(K44&lt;$C$23,0,K44)</f>
        <v>#REF!</v>
      </c>
      <c r="M44" s="21">
        <v>0</v>
      </c>
      <c r="N44" s="21" t="e">
        <f>IF(AND($F44&lt;=P$2,N39&gt;0),N39-1,0)</f>
        <v>#REF!</v>
      </c>
      <c r="O44" s="19" t="e">
        <f>IF(N44&lt;$C$23,0,N44)</f>
        <v>#REF!</v>
      </c>
      <c r="P44" s="21">
        <v>0</v>
      </c>
      <c r="Q44" s="21" t="e">
        <f>IF(AND($F44&lt;=S$2,Q39&gt;0),Q39-1,0)</f>
        <v>#REF!</v>
      </c>
      <c r="R44" s="19" t="e">
        <f>IF(Q44&lt;$C$23,0,Q44)</f>
        <v>#REF!</v>
      </c>
      <c r="S44" s="21">
        <v>0</v>
      </c>
      <c r="T44" s="21" t="e">
        <f>IF(AND($F44&lt;=V$2,T39&gt;0),T39-1,0)</f>
        <v>#REF!</v>
      </c>
      <c r="U44" s="19" t="e">
        <f>IF(T44&lt;$C$23,0,T44)</f>
        <v>#REF!</v>
      </c>
      <c r="V44" s="21">
        <v>0</v>
      </c>
      <c r="W44" s="21" t="e">
        <f>IF(AND($F44&lt;=Y$2,W39&gt;0),W39-1,0)</f>
        <v>#REF!</v>
      </c>
      <c r="X44" s="19" t="e">
        <f>IF(W44&lt;$C$23,0,W44)</f>
        <v>#REF!</v>
      </c>
      <c r="Y44" s="21">
        <v>0</v>
      </c>
      <c r="Z44" s="21" t="e">
        <f>IF(AND($F44&lt;=AB$2,Z39&gt;0),Z39-1,0)</f>
        <v>#REF!</v>
      </c>
      <c r="AA44" s="19" t="e">
        <f>IF(Z44&lt;$C$23,0,Z44)</f>
        <v>#REF!</v>
      </c>
      <c r="AB44" s="21">
        <v>0</v>
      </c>
      <c r="AC44" s="21" t="e">
        <f>IF(AND($F44&lt;=AE$2,AC39&gt;0),AC39-1,0)</f>
        <v>#REF!</v>
      </c>
      <c r="AD44" s="19" t="e">
        <f>IF(AC44&lt;$C$23,0,AC44)</f>
        <v>#REF!</v>
      </c>
      <c r="AE44" s="21">
        <v>0</v>
      </c>
      <c r="AF44" s="21" t="e">
        <f>IF(AND($F44&lt;=AH$2,AF39&gt;0),AF39-1,0)</f>
        <v>#REF!</v>
      </c>
      <c r="AG44" s="19" t="e">
        <f>IF(AF44&lt;$C$23,0,AF44)</f>
        <v>#REF!</v>
      </c>
      <c r="AH44" s="21">
        <v>0</v>
      </c>
      <c r="AI44" s="21" t="e">
        <f>IF(AND($F44&lt;=AK$2,AI39&gt;0),AI39-1,0)</f>
        <v>#REF!</v>
      </c>
      <c r="AJ44" s="19" t="e">
        <f>IF(AI44&lt;$C$23,0,AI44)</f>
        <v>#REF!</v>
      </c>
      <c r="AK44" s="21">
        <v>0</v>
      </c>
      <c r="AL44" s="21" t="e">
        <f>IF(AND($F44&lt;=AN$2,AL39&gt;0),AL39-1,0)</f>
        <v>#REF!</v>
      </c>
      <c r="AM44" s="19" t="e">
        <f>IF(AL44&lt;$C$23,0,AL44)</f>
        <v>#REF!</v>
      </c>
      <c r="AN44" s="21">
        <v>0</v>
      </c>
      <c r="AO44" s="21" t="e">
        <f>IF(AND($F44&lt;=AQ$2,AO39&gt;0),AO39-1,0)</f>
        <v>#REF!</v>
      </c>
      <c r="AP44" s="19" t="e">
        <f>IF(AO44&lt;$C$23,0,AO44)</f>
        <v>#REF!</v>
      </c>
      <c r="AQ44" s="21">
        <v>0</v>
      </c>
      <c r="AR44" s="21" t="e">
        <f>IF(AND($F44&lt;=AT$2,AR39&gt;0),AR39-1,0)</f>
        <v>#REF!</v>
      </c>
      <c r="AS44" s="19" t="e">
        <f>IF(AR44&lt;$C$23,0,AR44)</f>
        <v>#REF!</v>
      </c>
      <c r="AT44" s="21">
        <v>0</v>
      </c>
      <c r="AU44" s="21" t="e">
        <f>IF(AND($F44&lt;=AW$2,AU39&gt;0),AU39-1,0)</f>
        <v>#REF!</v>
      </c>
      <c r="AV44" s="19" t="e">
        <f>IF(AU44&lt;$C$23,0,AU44)</f>
        <v>#REF!</v>
      </c>
      <c r="AW44" s="21">
        <v>0</v>
      </c>
      <c r="AX44" s="21" t="e">
        <f>IF(AND($F44&lt;=AZ$2,AX39&gt;0),AX39-1,0)</f>
        <v>#REF!</v>
      </c>
      <c r="AY44" s="19" t="e">
        <f>IF(AX44&lt;$C$23,0,AX44)</f>
        <v>#REF!</v>
      </c>
      <c r="AZ44" s="21">
        <v>0</v>
      </c>
      <c r="BA44" s="22" t="e">
        <f t="shared" si="1"/>
        <v>#REF!</v>
      </c>
      <c r="BC44" t="s">
        <v>197</v>
      </c>
      <c r="BD44">
        <v>400</v>
      </c>
      <c r="BE44">
        <v>48.93</v>
      </c>
      <c r="BF44">
        <v>40.61</v>
      </c>
      <c r="BG44">
        <v>-0.3</v>
      </c>
      <c r="BH44" s="12">
        <v>9.85</v>
      </c>
      <c r="BI44" s="12">
        <v>10.36</v>
      </c>
      <c r="BJ44" s="12"/>
      <c r="BK44" s="12"/>
      <c r="BM44" t="s">
        <v>198</v>
      </c>
      <c r="BN44">
        <v>7</v>
      </c>
      <c r="BO44">
        <v>11550</v>
      </c>
      <c r="BP44">
        <v>600</v>
      </c>
      <c r="BQ44">
        <v>120</v>
      </c>
      <c r="BR44" s="39">
        <v>15</v>
      </c>
      <c r="BS44" s="33">
        <v>30</v>
      </c>
      <c r="BT44" s="33"/>
      <c r="BU44" s="33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4"/>
      <c r="CG44" s="33">
        <v>12.5</v>
      </c>
      <c r="CH44" s="33">
        <v>25</v>
      </c>
      <c r="CI44" s="33"/>
      <c r="CJ44" s="33"/>
      <c r="CK44" s="33"/>
      <c r="CL44" s="33"/>
      <c r="CM44" s="33"/>
      <c r="CN44" s="33"/>
      <c r="CO44" s="33"/>
      <c r="CP44" s="33"/>
      <c r="CQ44" s="33"/>
      <c r="CR44" s="33"/>
      <c r="CS44" s="33"/>
      <c r="CT44" s="33"/>
      <c r="CU44" s="34"/>
      <c r="CV44">
        <v>1</v>
      </c>
      <c r="CW44">
        <v>2</v>
      </c>
      <c r="DK44" s="25"/>
      <c r="DL44" s="25"/>
    </row>
    <row r="45" spans="2:116" ht="15.75" customHeight="1">
      <c r="B45" t="s">
        <v>199</v>
      </c>
      <c r="C45">
        <f t="shared" si="24"/>
        <v>0</v>
      </c>
      <c r="F45" s="26">
        <v>2</v>
      </c>
      <c r="G45" s="27">
        <f t="shared" si="27"/>
        <v>0</v>
      </c>
      <c r="H45" s="21">
        <f>IF(AND($F45&lt;=J$2,H44&gt;0),H44*$F45,0)</f>
        <v>8</v>
      </c>
      <c r="I45" s="19">
        <f>IF(H44&lt;$C$23,0,H45)</f>
        <v>8</v>
      </c>
      <c r="J45" s="20">
        <v>0</v>
      </c>
      <c r="K45" s="21" t="e">
        <f>IF(AND($F45&lt;=M$2,K44&gt;0),K44*$F45,0)</f>
        <v>#REF!</v>
      </c>
      <c r="L45" s="19" t="e">
        <f>IF(K44&lt;$C$23,0,K45)</f>
        <v>#REF!</v>
      </c>
      <c r="M45" s="21">
        <v>0</v>
      </c>
      <c r="N45" s="21" t="e">
        <f>IF(AND($F45&lt;=P$2,N44&gt;0),N44*$F45,0)</f>
        <v>#REF!</v>
      </c>
      <c r="O45" s="19" t="e">
        <f>IF(N44&lt;$C$23,0,N45)</f>
        <v>#REF!</v>
      </c>
      <c r="P45" s="21">
        <v>0</v>
      </c>
      <c r="Q45" s="21" t="e">
        <f>IF(AND($F45&lt;=S$2,Q44&gt;0),Q44*$F45,0)</f>
        <v>#REF!</v>
      </c>
      <c r="R45" s="19" t="e">
        <f>IF(Q44&lt;$C$23,0,Q45)</f>
        <v>#REF!</v>
      </c>
      <c r="S45" s="21">
        <v>0</v>
      </c>
      <c r="T45" s="21" t="e">
        <f>IF(AND($F45&lt;=V$2,T44&gt;0),T44*$F45,0)</f>
        <v>#REF!</v>
      </c>
      <c r="U45" s="19" t="e">
        <f>IF(T44&lt;$C$23,0,T45)</f>
        <v>#REF!</v>
      </c>
      <c r="V45" s="21">
        <v>0</v>
      </c>
      <c r="W45" s="21" t="e">
        <f>IF(AND($F45&lt;=Y$2,W44&gt;0),W44*$F45,0)</f>
        <v>#REF!</v>
      </c>
      <c r="X45" s="19" t="e">
        <f>IF(W44&lt;$C$23,0,W45)</f>
        <v>#REF!</v>
      </c>
      <c r="Y45" s="21">
        <v>0</v>
      </c>
      <c r="Z45" s="21" t="e">
        <f>IF(AND($F45&lt;=AB$2,Z44&gt;0),Z44*$F45,0)</f>
        <v>#REF!</v>
      </c>
      <c r="AA45" s="19" t="e">
        <f>IF(Z44&lt;$C$23,0,Z45)</f>
        <v>#REF!</v>
      </c>
      <c r="AB45" s="21">
        <v>0</v>
      </c>
      <c r="AC45" s="21" t="e">
        <f>IF(AND($F45&lt;=AE$2,AC44&gt;0),AC44*$F45,0)</f>
        <v>#REF!</v>
      </c>
      <c r="AD45" s="19" t="e">
        <f>IF(AC44&lt;$C$23,0,AC45)</f>
        <v>#REF!</v>
      </c>
      <c r="AE45" s="21">
        <v>0</v>
      </c>
      <c r="AF45" s="21" t="e">
        <f>IF(AND($F45&lt;=AH$2,AF44&gt;0),AF44*$F45,0)</f>
        <v>#REF!</v>
      </c>
      <c r="AG45" s="19" t="e">
        <f>IF(AF44&lt;$C$23,0,AF45)</f>
        <v>#REF!</v>
      </c>
      <c r="AH45" s="21">
        <v>0</v>
      </c>
      <c r="AI45" s="21" t="e">
        <f>IF(AND($F45&lt;=AK$2,AI44&gt;0),AI44*$F45,0)</f>
        <v>#REF!</v>
      </c>
      <c r="AJ45" s="19" t="e">
        <f>IF(AI44&lt;$C$23,0,AI45)</f>
        <v>#REF!</v>
      </c>
      <c r="AK45" s="21">
        <v>0</v>
      </c>
      <c r="AL45" s="21" t="e">
        <f>IF(AND($F45&lt;=AN$2,AL44&gt;0),AL44*$F45,0)</f>
        <v>#REF!</v>
      </c>
      <c r="AM45" s="19" t="e">
        <f>IF(AL44&lt;$C$23,0,AL45)</f>
        <v>#REF!</v>
      </c>
      <c r="AN45" s="21">
        <v>0</v>
      </c>
      <c r="AO45" s="21" t="e">
        <f>IF(AND($F45&lt;=AQ$2,AO44&gt;0),AO44*$F45,0)</f>
        <v>#REF!</v>
      </c>
      <c r="AP45" s="19" t="e">
        <f>IF(AO44&lt;$C$23,0,AO45)</f>
        <v>#REF!</v>
      </c>
      <c r="AQ45" s="21">
        <v>0</v>
      </c>
      <c r="AR45" s="21" t="e">
        <f>IF(AND($F45&lt;=AT$2,AR44&gt;0),AR44*$F45,0)</f>
        <v>#REF!</v>
      </c>
      <c r="AS45" s="19" t="e">
        <f>IF(AR44&lt;$C$23,0,AR45)</f>
        <v>#REF!</v>
      </c>
      <c r="AT45" s="21">
        <v>0</v>
      </c>
      <c r="AU45" s="21" t="e">
        <f>IF(AND($F45&lt;=AW$2,AU44&gt;0),AU44*$F45,0)</f>
        <v>#REF!</v>
      </c>
      <c r="AV45" s="19" t="e">
        <f>IF(AU44&lt;$C$23,0,AU45)</f>
        <v>#REF!</v>
      </c>
      <c r="AW45" s="21">
        <v>0</v>
      </c>
      <c r="AX45" s="21" t="e">
        <f>IF(AND($F45&lt;=AZ$2,AX44&gt;0),AX44*$F45,0)</f>
        <v>#REF!</v>
      </c>
      <c r="AY45" s="19" t="e">
        <f>IF(AX44&lt;$C$23,0,AX45)</f>
        <v>#REF!</v>
      </c>
      <c r="AZ45" s="21">
        <v>0</v>
      </c>
      <c r="BA45" s="22" t="e">
        <f t="shared" si="1"/>
        <v>#REF!</v>
      </c>
      <c r="BC45" t="s">
        <v>200</v>
      </c>
      <c r="BD45" s="12">
        <v>700</v>
      </c>
      <c r="BE45" s="12">
        <v>50.42</v>
      </c>
      <c r="BF45" s="12">
        <v>42.41</v>
      </c>
      <c r="BG45" s="12">
        <v>-0.24</v>
      </c>
      <c r="BH45" s="12">
        <v>16.510000000000002</v>
      </c>
      <c r="BI45" s="12">
        <v>17.63</v>
      </c>
      <c r="BJ45" s="12"/>
      <c r="BK45" s="12"/>
      <c r="BM45" t="s">
        <v>201</v>
      </c>
      <c r="BN45">
        <v>8</v>
      </c>
      <c r="BO45">
        <v>13200</v>
      </c>
      <c r="BP45">
        <v>600</v>
      </c>
      <c r="BQ45">
        <v>120</v>
      </c>
      <c r="BR45" s="39">
        <v>15.6</v>
      </c>
      <c r="BS45" s="33">
        <v>15.6</v>
      </c>
      <c r="BT45" s="33">
        <v>15.6</v>
      </c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4"/>
      <c r="CG45" s="33">
        <v>10</v>
      </c>
      <c r="CH45" s="33">
        <v>10</v>
      </c>
      <c r="CI45" s="33">
        <v>10</v>
      </c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4"/>
      <c r="CV45">
        <v>1</v>
      </c>
      <c r="CW45">
        <v>1</v>
      </c>
      <c r="CX45">
        <v>1</v>
      </c>
      <c r="DK45" s="15"/>
      <c r="DL45" s="15"/>
    </row>
    <row r="46" spans="2:116" ht="15.75" customHeight="1">
      <c r="B46" t="s">
        <v>202</v>
      </c>
      <c r="C46">
        <f t="shared" si="24"/>
        <v>0</v>
      </c>
      <c r="F46" s="26">
        <v>3</v>
      </c>
      <c r="G46" s="27">
        <f t="shared" si="27"/>
        <v>0</v>
      </c>
      <c r="H46" s="21">
        <f>IF(AND($F46&lt;=J$2,H44&gt;0),H44*$F46,0)</f>
        <v>12</v>
      </c>
      <c r="I46" s="19">
        <f>IF(H44&lt;$C$23,0,H46)</f>
        <v>12</v>
      </c>
      <c r="J46" s="20">
        <v>0</v>
      </c>
      <c r="K46" s="21" t="e">
        <f>IF(AND($F46&lt;=M$2,K44&gt;0),K44*$F46,0)</f>
        <v>#REF!</v>
      </c>
      <c r="L46" s="19" t="e">
        <f>IF(K44&lt;$C$23,0,K46)</f>
        <v>#REF!</v>
      </c>
      <c r="M46" s="21">
        <v>0</v>
      </c>
      <c r="N46" s="21" t="e">
        <f>IF(AND($F46&lt;=P$2,N44&gt;0),N44*$F46,0)</f>
        <v>#REF!</v>
      </c>
      <c r="O46" s="19" t="e">
        <f>IF(N44&lt;$C$23,0,N46)</f>
        <v>#REF!</v>
      </c>
      <c r="P46" s="21">
        <v>0</v>
      </c>
      <c r="Q46" s="21" t="e">
        <f>IF(AND($F46&lt;=S$2,Q44&gt;0),Q44*$F46,0)</f>
        <v>#REF!</v>
      </c>
      <c r="R46" s="19" t="e">
        <f>IF(Q44&lt;$C$23,0,Q46)</f>
        <v>#REF!</v>
      </c>
      <c r="S46" s="21">
        <v>0</v>
      </c>
      <c r="T46" s="21" t="e">
        <f>IF(AND($F46&lt;=V$2,T44&gt;0),T44*$F46,0)</f>
        <v>#REF!</v>
      </c>
      <c r="U46" s="19" t="e">
        <f>IF(T44&lt;$C$23,0,T46)</f>
        <v>#REF!</v>
      </c>
      <c r="V46" s="21">
        <v>0</v>
      </c>
      <c r="W46" s="21" t="e">
        <f>IF(AND($F46&lt;=Y$2,W44&gt;0),W44*$F46,0)</f>
        <v>#REF!</v>
      </c>
      <c r="X46" s="19" t="e">
        <f>IF(W44&lt;$C$23,0,W46)</f>
        <v>#REF!</v>
      </c>
      <c r="Y46" s="21">
        <v>0</v>
      </c>
      <c r="Z46" s="21" t="e">
        <f>IF(AND($F46&lt;=AB$2,Z44&gt;0),Z44*$F46,0)</f>
        <v>#REF!</v>
      </c>
      <c r="AA46" s="19" t="e">
        <f>IF(Z44&lt;$C$23,0,Z46)</f>
        <v>#REF!</v>
      </c>
      <c r="AB46" s="21">
        <v>0</v>
      </c>
      <c r="AC46" s="21" t="e">
        <f>IF(AND($F46&lt;=AE$2,AC44&gt;0),AC44*$F46,0)</f>
        <v>#REF!</v>
      </c>
      <c r="AD46" s="19" t="e">
        <f>IF(AC44&lt;$C$23,0,AC46)</f>
        <v>#REF!</v>
      </c>
      <c r="AE46" s="21">
        <v>0</v>
      </c>
      <c r="AF46" s="21" t="e">
        <f>IF(AND($F46&lt;=AH$2,AF44&gt;0),AF44*$F46,0)</f>
        <v>#REF!</v>
      </c>
      <c r="AG46" s="19" t="e">
        <f>IF(AF44&lt;$C$23,0,AF46)</f>
        <v>#REF!</v>
      </c>
      <c r="AH46" s="21">
        <v>0</v>
      </c>
      <c r="AI46" s="21" t="e">
        <f>IF(AND($F46&lt;=AK$2,AI44&gt;0),AI44*$F46,0)</f>
        <v>#REF!</v>
      </c>
      <c r="AJ46" s="19" t="e">
        <f>IF(AI44&lt;$C$23,0,AI46)</f>
        <v>#REF!</v>
      </c>
      <c r="AK46" s="21">
        <v>0</v>
      </c>
      <c r="AL46" s="21" t="e">
        <f>IF(AND($F46&lt;=AN$2,AL44&gt;0),AL44*$F46,0)</f>
        <v>#REF!</v>
      </c>
      <c r="AM46" s="19" t="e">
        <f>IF(AL44&lt;$C$23,0,AL46)</f>
        <v>#REF!</v>
      </c>
      <c r="AN46" s="21">
        <v>0</v>
      </c>
      <c r="AO46" s="21" t="e">
        <f>IF(AND($F46&lt;=AQ$2,AO44&gt;0),AO44*$F46,0)</f>
        <v>#REF!</v>
      </c>
      <c r="AP46" s="19" t="e">
        <f>IF(AO44&lt;$C$23,0,AO46)</f>
        <v>#REF!</v>
      </c>
      <c r="AQ46" s="21">
        <v>0</v>
      </c>
      <c r="AR46" s="21" t="e">
        <f>IF(AND($F46&lt;=AT$2,AR44&gt;0),AR44*$F46,0)</f>
        <v>#REF!</v>
      </c>
      <c r="AS46" s="19" t="e">
        <f>IF(AR44&lt;$C$23,0,AR46)</f>
        <v>#REF!</v>
      </c>
      <c r="AT46" s="21">
        <v>0</v>
      </c>
      <c r="AU46" s="21" t="e">
        <f>IF(AND($F46&lt;=AW$2,AU44&gt;0),AU44*$F46,0)</f>
        <v>#REF!</v>
      </c>
      <c r="AV46" s="19" t="e">
        <f>IF(AU44&lt;$C$23,0,AU46)</f>
        <v>#REF!</v>
      </c>
      <c r="AW46" s="21">
        <v>0</v>
      </c>
      <c r="AX46" s="21" t="e">
        <f>IF(AND($F46&lt;=AZ$2,AX44&gt;0),AX44*$F46,0)</f>
        <v>#REF!</v>
      </c>
      <c r="AY46" s="19" t="e">
        <f>IF(AX44&lt;$C$23,0,AX46)</f>
        <v>#REF!</v>
      </c>
      <c r="AZ46" s="21">
        <v>0</v>
      </c>
      <c r="BA46" s="22" t="e">
        <f t="shared" si="1"/>
        <v>#REF!</v>
      </c>
      <c r="BC46" t="s">
        <v>203</v>
      </c>
      <c r="BD46" s="12">
        <v>570</v>
      </c>
      <c r="BE46" s="12">
        <v>51.07</v>
      </c>
      <c r="BF46" s="12">
        <v>42.29</v>
      </c>
      <c r="BG46" s="12">
        <v>-0.25</v>
      </c>
      <c r="BH46" s="12">
        <v>13.48</v>
      </c>
      <c r="BI46" s="12">
        <v>14.25</v>
      </c>
      <c r="BJ46" s="12"/>
      <c r="BK46" s="12"/>
      <c r="BM46" t="s">
        <v>204</v>
      </c>
      <c r="BN46">
        <v>9</v>
      </c>
      <c r="BO46">
        <v>13500</v>
      </c>
      <c r="BP46">
        <v>600</v>
      </c>
      <c r="BQ46">
        <v>120</v>
      </c>
      <c r="BR46" s="39">
        <v>15</v>
      </c>
      <c r="BS46" s="33">
        <v>30</v>
      </c>
      <c r="BT46" s="33"/>
      <c r="BU46" s="33"/>
      <c r="BV46" s="33"/>
      <c r="BW46" s="33"/>
      <c r="BX46" s="33"/>
      <c r="BY46" s="33"/>
      <c r="BZ46" s="33"/>
      <c r="CA46" s="33"/>
      <c r="CB46" s="33"/>
      <c r="CC46" s="33"/>
      <c r="CD46" s="33"/>
      <c r="CE46" s="33"/>
      <c r="CF46" s="34"/>
      <c r="CG46" s="33">
        <v>12.5</v>
      </c>
      <c r="CH46" s="33">
        <v>25</v>
      </c>
      <c r="CI46" s="33"/>
      <c r="CJ46" s="33"/>
      <c r="CK46" s="33"/>
      <c r="CL46" s="33"/>
      <c r="CM46" s="33"/>
      <c r="CN46" s="33"/>
      <c r="CO46" s="33"/>
      <c r="CP46" s="33"/>
      <c r="CQ46" s="33"/>
      <c r="CR46" s="33"/>
      <c r="CS46" s="33"/>
      <c r="CT46" s="33"/>
      <c r="CU46" s="34"/>
      <c r="CV46">
        <v>1</v>
      </c>
      <c r="CW46">
        <v>2</v>
      </c>
      <c r="DK46" s="25"/>
      <c r="DL46" s="25"/>
    </row>
    <row r="47" spans="2:116" ht="15.75" customHeight="1">
      <c r="F47" s="26">
        <v>4</v>
      </c>
      <c r="G47" s="27">
        <f t="shared" si="27"/>
        <v>0</v>
      </c>
      <c r="H47" s="21">
        <f>IF(AND($F47&lt;=J$2,H44&gt;0),H44*$F47,0)</f>
        <v>16</v>
      </c>
      <c r="I47" s="19">
        <f>IF(H44&lt;$C$23,0,H47)</f>
        <v>16</v>
      </c>
      <c r="J47" s="20">
        <v>0</v>
      </c>
      <c r="K47" s="21" t="e">
        <f>IF(AND($F47&lt;=M$2,K44&gt;0),K44*$F47,0)</f>
        <v>#REF!</v>
      </c>
      <c r="L47" s="19" t="e">
        <f>IF(K44&lt;$C$23,0,K47)</f>
        <v>#REF!</v>
      </c>
      <c r="M47" s="21">
        <v>0</v>
      </c>
      <c r="N47" s="21" t="e">
        <f>IF(AND($F47&lt;=P$2,N44&gt;0),N44*$F47,0)</f>
        <v>#REF!</v>
      </c>
      <c r="O47" s="19" t="e">
        <f>IF(N44&lt;$C$23,0,N47)</f>
        <v>#REF!</v>
      </c>
      <c r="P47" s="21">
        <v>0</v>
      </c>
      <c r="Q47" s="21" t="e">
        <f>IF(AND($F47&lt;=S$2,Q44&gt;0),Q44*$F47,0)</f>
        <v>#REF!</v>
      </c>
      <c r="R47" s="19" t="e">
        <f>IF(Q44&lt;$C$23,0,Q47)</f>
        <v>#REF!</v>
      </c>
      <c r="S47" s="21">
        <v>0</v>
      </c>
      <c r="T47" s="21" t="e">
        <f>IF(AND($F47&lt;=V$2,T44&gt;0),T44*$F47,0)</f>
        <v>#REF!</v>
      </c>
      <c r="U47" s="19" t="e">
        <f>IF(T44&lt;$C$23,0,T47)</f>
        <v>#REF!</v>
      </c>
      <c r="V47" s="21">
        <v>0</v>
      </c>
      <c r="W47" s="21" t="e">
        <f>IF(AND($F47&lt;=Y$2,W44&gt;0),W44*$F47,0)</f>
        <v>#REF!</v>
      </c>
      <c r="X47" s="19" t="e">
        <f>IF(W44&lt;$C$23,0,W47)</f>
        <v>#REF!</v>
      </c>
      <c r="Y47" s="21">
        <v>0</v>
      </c>
      <c r="Z47" s="21" t="e">
        <f>IF(AND($F47&lt;=AB$2,Z44&gt;0),Z44*$F47,0)</f>
        <v>#REF!</v>
      </c>
      <c r="AA47" s="19" t="e">
        <f>IF(Z44&lt;$C$23,0,Z47)</f>
        <v>#REF!</v>
      </c>
      <c r="AB47" s="21">
        <v>0</v>
      </c>
      <c r="AC47" s="21" t="e">
        <f>IF(AND($F47&lt;=AE$2,AC44&gt;0),AC44*$F47,0)</f>
        <v>#REF!</v>
      </c>
      <c r="AD47" s="19" t="e">
        <f>IF(AC44&lt;$C$23,0,AC47)</f>
        <v>#REF!</v>
      </c>
      <c r="AE47" s="21">
        <v>0</v>
      </c>
      <c r="AF47" s="21" t="e">
        <f>IF(AND($F47&lt;=AH$2,AF44&gt;0),AF44*$F47,0)</f>
        <v>#REF!</v>
      </c>
      <c r="AG47" s="19" t="e">
        <f>IF(AF44&lt;$C$23,0,AF47)</f>
        <v>#REF!</v>
      </c>
      <c r="AH47" s="21">
        <v>0</v>
      </c>
      <c r="AI47" s="21" t="e">
        <f>IF(AND($F47&lt;=AK$2,AI44&gt;0),AI44*$F47,0)</f>
        <v>#REF!</v>
      </c>
      <c r="AJ47" s="19" t="e">
        <f>IF(AI44&lt;$C$23,0,AI47)</f>
        <v>#REF!</v>
      </c>
      <c r="AK47" s="21">
        <v>0</v>
      </c>
      <c r="AL47" s="21" t="e">
        <f>IF(AND($F47&lt;=AN$2,AL44&gt;0),AL44*$F47,0)</f>
        <v>#REF!</v>
      </c>
      <c r="AM47" s="19" t="e">
        <f>IF(AL44&lt;$C$23,0,AL47)</f>
        <v>#REF!</v>
      </c>
      <c r="AN47" s="21">
        <v>0</v>
      </c>
      <c r="AO47" s="21" t="e">
        <f>IF(AND($F47&lt;=AQ$2,AO44&gt;0),AO44*$F47,0)</f>
        <v>#REF!</v>
      </c>
      <c r="AP47" s="19" t="e">
        <f>IF(AO44&lt;$C$23,0,AO47)</f>
        <v>#REF!</v>
      </c>
      <c r="AQ47" s="21">
        <v>0</v>
      </c>
      <c r="AR47" s="21" t="e">
        <f>IF(AND($F47&lt;=AT$2,AR44&gt;0),AR44*$F47,0)</f>
        <v>#REF!</v>
      </c>
      <c r="AS47" s="19" t="e">
        <f>IF(AR44&lt;$C$23,0,AR47)</f>
        <v>#REF!</v>
      </c>
      <c r="AT47" s="21">
        <v>0</v>
      </c>
      <c r="AU47" s="21" t="e">
        <f>IF(AND($F47&lt;=AW$2,AU44&gt;0),AU44*$F47,0)</f>
        <v>#REF!</v>
      </c>
      <c r="AV47" s="19" t="e">
        <f>IF(AU44&lt;$C$23,0,AU47)</f>
        <v>#REF!</v>
      </c>
      <c r="AW47" s="21">
        <v>0</v>
      </c>
      <c r="AX47" s="21" t="e">
        <f>IF(AND($F47&lt;=AZ$2,AX44&gt;0),AX44*$F47,0)</f>
        <v>#REF!</v>
      </c>
      <c r="AY47" s="19" t="e">
        <f>IF(AX44&lt;$C$23,0,AX47)</f>
        <v>#REF!</v>
      </c>
      <c r="AZ47" s="21">
        <v>0</v>
      </c>
      <c r="BA47" s="22" t="e">
        <f t="shared" si="1"/>
        <v>#REF!</v>
      </c>
      <c r="BC47" t="s">
        <v>205</v>
      </c>
      <c r="BD47" s="12">
        <v>585</v>
      </c>
      <c r="BE47">
        <v>51.67</v>
      </c>
      <c r="BF47" s="12">
        <v>42.74</v>
      </c>
      <c r="BG47" s="12">
        <v>-0.25</v>
      </c>
      <c r="BH47" s="12">
        <v>13.69</v>
      </c>
      <c r="BI47" s="12">
        <v>14.43</v>
      </c>
      <c r="BJ47" s="12"/>
      <c r="BK47" s="12"/>
      <c r="BM47" t="s">
        <v>206</v>
      </c>
      <c r="BN47">
        <v>3.6</v>
      </c>
      <c r="BO47">
        <v>5500</v>
      </c>
      <c r="BP47">
        <v>600</v>
      </c>
      <c r="BQ47">
        <v>100</v>
      </c>
      <c r="BR47" s="39">
        <v>16.3</v>
      </c>
      <c r="BS47" s="33">
        <v>16.3</v>
      </c>
      <c r="BT47" s="33"/>
      <c r="BU47" s="33"/>
      <c r="BV47" s="33"/>
      <c r="BW47" s="33"/>
      <c r="BX47" s="33"/>
      <c r="BY47" s="33"/>
      <c r="BZ47" s="33"/>
      <c r="CA47" s="33"/>
      <c r="CB47" s="33"/>
      <c r="CC47" s="33"/>
      <c r="CD47" s="33"/>
      <c r="CE47" s="33"/>
      <c r="CF47" s="34"/>
      <c r="CG47" s="33">
        <v>13</v>
      </c>
      <c r="CH47" s="33">
        <v>13</v>
      </c>
      <c r="CI47" s="33"/>
      <c r="CJ47" s="33"/>
      <c r="CK47" s="33"/>
      <c r="CL47" s="33"/>
      <c r="CM47" s="33"/>
      <c r="CN47" s="33"/>
      <c r="CO47" s="33"/>
      <c r="CP47" s="33"/>
      <c r="CQ47" s="33"/>
      <c r="CR47" s="33"/>
      <c r="CS47" s="33"/>
      <c r="CT47" s="33"/>
      <c r="CU47" s="34"/>
      <c r="CV47">
        <v>1</v>
      </c>
      <c r="CW47">
        <v>1</v>
      </c>
      <c r="DK47" s="15"/>
      <c r="DL47" s="15"/>
    </row>
    <row r="48" spans="2:116" ht="15.75" customHeight="1">
      <c r="F48" s="26">
        <v>5</v>
      </c>
      <c r="G48" s="27">
        <f t="shared" si="27"/>
        <v>0</v>
      </c>
      <c r="H48" s="21">
        <f>IF(AND($F48&lt;=J$2,H44&gt;0),H44*$F48,0)</f>
        <v>20</v>
      </c>
      <c r="I48" s="19">
        <f>IF(H44&lt;$C$23,0,H48)</f>
        <v>20</v>
      </c>
      <c r="J48" s="20">
        <v>0</v>
      </c>
      <c r="K48" s="21" t="e">
        <f>IF(AND($F48&lt;=M$2,K44&gt;0),K44*$F48,0)</f>
        <v>#REF!</v>
      </c>
      <c r="L48" s="19" t="e">
        <f>IF(K44&lt;$C$23,0,K48)</f>
        <v>#REF!</v>
      </c>
      <c r="M48" s="21">
        <v>0</v>
      </c>
      <c r="N48" s="21" t="e">
        <f>IF(AND($F48&lt;=P$2,N44&gt;0),N44*$F48,0)</f>
        <v>#REF!</v>
      </c>
      <c r="O48" s="19" t="e">
        <f>IF(N44&lt;$C$23,0,N48)</f>
        <v>#REF!</v>
      </c>
      <c r="P48" s="21">
        <v>0</v>
      </c>
      <c r="Q48" s="21" t="e">
        <f>IF(AND($F48&lt;=S$2,Q44&gt;0),Q44*$F48,0)</f>
        <v>#REF!</v>
      </c>
      <c r="R48" s="19" t="e">
        <f>IF(Q44&lt;$C$23,0,Q48)</f>
        <v>#REF!</v>
      </c>
      <c r="S48" s="21">
        <v>0</v>
      </c>
      <c r="T48" s="21" t="e">
        <f>IF(AND($F48&lt;=V$2,T44&gt;0),T44*$F48,0)</f>
        <v>#REF!</v>
      </c>
      <c r="U48" s="19" t="e">
        <f>IF(T44&lt;$C$23,0,T48)</f>
        <v>#REF!</v>
      </c>
      <c r="V48" s="21">
        <v>0</v>
      </c>
      <c r="W48" s="21" t="e">
        <f>IF(AND($F48&lt;=Y$2,W44&gt;0),W44*$F48,0)</f>
        <v>#REF!</v>
      </c>
      <c r="X48" s="19" t="e">
        <f>IF(W44&lt;$C$23,0,W48)</f>
        <v>#REF!</v>
      </c>
      <c r="Y48" s="21">
        <v>0</v>
      </c>
      <c r="Z48" s="21" t="e">
        <f>IF(AND($F48&lt;=AB$2,Z44&gt;0),Z44*$F48,0)</f>
        <v>#REF!</v>
      </c>
      <c r="AA48" s="19" t="e">
        <f>IF(Z44&lt;$C$23,0,Z48)</f>
        <v>#REF!</v>
      </c>
      <c r="AB48" s="21">
        <v>0</v>
      </c>
      <c r="AC48" s="21" t="e">
        <f>IF(AND($F48&lt;=AE$2,AC44&gt;0),AC44*$F48,0)</f>
        <v>#REF!</v>
      </c>
      <c r="AD48" s="19" t="e">
        <f>IF(AC44&lt;$C$23,0,AC48)</f>
        <v>#REF!</v>
      </c>
      <c r="AE48" s="21">
        <v>0</v>
      </c>
      <c r="AF48" s="21" t="e">
        <f>IF(AND($F48&lt;=AH$2,AF44&gt;0),AF44*$F48,0)</f>
        <v>#REF!</v>
      </c>
      <c r="AG48" s="19" t="e">
        <f>IF(AF44&lt;$C$23,0,AF48)</f>
        <v>#REF!</v>
      </c>
      <c r="AH48" s="21">
        <v>0</v>
      </c>
      <c r="AI48" s="21" t="e">
        <f>IF(AND($F48&lt;=AK$2,AI44&gt;0),AI44*$F48,0)</f>
        <v>#REF!</v>
      </c>
      <c r="AJ48" s="19" t="e">
        <f>IF(AI44&lt;$C$23,0,AI48)</f>
        <v>#REF!</v>
      </c>
      <c r="AK48" s="21">
        <v>0</v>
      </c>
      <c r="AL48" s="21" t="e">
        <f>IF(AND($F48&lt;=AN$2,AL44&gt;0),AL44*$F48,0)</f>
        <v>#REF!</v>
      </c>
      <c r="AM48" s="19" t="e">
        <f>IF(AL44&lt;$C$23,0,AL48)</f>
        <v>#REF!</v>
      </c>
      <c r="AN48" s="21">
        <v>0</v>
      </c>
      <c r="AO48" s="21" t="e">
        <f>IF(AND($F48&lt;=AQ$2,AO44&gt;0),AO44*$F48,0)</f>
        <v>#REF!</v>
      </c>
      <c r="AP48" s="19" t="e">
        <f>IF(AO44&lt;$C$23,0,AO48)</f>
        <v>#REF!</v>
      </c>
      <c r="AQ48" s="21">
        <v>0</v>
      </c>
      <c r="AR48" s="21" t="e">
        <f>IF(AND($F48&lt;=AT$2,AR44&gt;0),AR44*$F48,0)</f>
        <v>#REF!</v>
      </c>
      <c r="AS48" s="19" t="e">
        <f>IF(AR44&lt;$C$23,0,AR48)</f>
        <v>#REF!</v>
      </c>
      <c r="AT48" s="21">
        <v>0</v>
      </c>
      <c r="AU48" s="21" t="e">
        <f>IF(AND($F48&lt;=AW$2,AU44&gt;0),AU44*$F48,0)</f>
        <v>#REF!</v>
      </c>
      <c r="AV48" s="19" t="e">
        <f>IF(AU44&lt;$C$23,0,AU48)</f>
        <v>#REF!</v>
      </c>
      <c r="AW48" s="21">
        <v>0</v>
      </c>
      <c r="AX48" s="21" t="e">
        <f>IF(AND($F48&lt;=AZ$2,AX44&gt;0),AX44*$F48,0)</f>
        <v>#REF!</v>
      </c>
      <c r="AY48" s="19" t="e">
        <f>IF(AX44&lt;$C$23,0,AX48)</f>
        <v>#REF!</v>
      </c>
      <c r="AZ48" s="21">
        <v>0</v>
      </c>
      <c r="BA48" s="22" t="e">
        <f t="shared" si="1"/>
        <v>#REF!</v>
      </c>
      <c r="BC48" t="s">
        <v>207</v>
      </c>
      <c r="BD48">
        <v>590</v>
      </c>
      <c r="BE48">
        <v>52.49</v>
      </c>
      <c r="BF48">
        <v>44.21</v>
      </c>
      <c r="BG48">
        <v>-0.25</v>
      </c>
      <c r="BH48">
        <v>13.35</v>
      </c>
      <c r="BI48">
        <v>14.05</v>
      </c>
      <c r="BM48" t="s">
        <v>208</v>
      </c>
      <c r="BN48">
        <v>5</v>
      </c>
      <c r="BO48">
        <v>7500</v>
      </c>
      <c r="BP48">
        <v>600</v>
      </c>
      <c r="BQ48">
        <v>100</v>
      </c>
      <c r="BR48" s="39">
        <v>16.3</v>
      </c>
      <c r="BS48" s="33">
        <v>16.3</v>
      </c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4"/>
      <c r="CG48" s="33">
        <v>13</v>
      </c>
      <c r="CH48" s="33">
        <v>13</v>
      </c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4"/>
      <c r="CV48">
        <v>1</v>
      </c>
      <c r="CW48">
        <v>1</v>
      </c>
      <c r="DK48" s="41"/>
      <c r="DL48" s="41"/>
    </row>
    <row r="49" spans="2:116" ht="15.75" customHeight="1">
      <c r="F49" s="26">
        <v>1</v>
      </c>
      <c r="G49" s="27">
        <f t="shared" ref="G49:G53" si="28">IF(OR(J49&lt;&gt;0,M49&lt;&gt;0,P49&lt;&gt;0,S49&lt;&gt;0,V49&lt;&gt;0,Y49&lt;&gt;0,AB49&lt;&gt;0,AE49&lt;&gt;0,AH49&lt;&gt;0,AK49&lt;&gt;0,AN49&lt;&gt;0,AQ49&lt;&gt;0,AT49&lt;&gt;0,AW49&lt;&gt;0,AZ49&lt;&gt;0),$C$26-9,0)</f>
        <v>0</v>
      </c>
      <c r="H49" s="21">
        <f>IF(AND($F49&lt;=J$2,H44&gt;0),H44-1,0)</f>
        <v>3</v>
      </c>
      <c r="I49" s="19">
        <f>IF(H49&lt;$C$23,0,H49)</f>
        <v>3</v>
      </c>
      <c r="J49" s="20">
        <v>0</v>
      </c>
      <c r="K49" s="21" t="e">
        <f>IF(AND($F49&lt;=M$2,K44&gt;0),K44-1,0)</f>
        <v>#REF!</v>
      </c>
      <c r="L49" s="19" t="e">
        <f>IF(K49&lt;$C$23,0,K49)</f>
        <v>#REF!</v>
      </c>
      <c r="M49" s="21">
        <v>0</v>
      </c>
      <c r="N49" s="21" t="e">
        <f>IF(AND($F49&lt;=P$2,N44&gt;0),N44-1,0)</f>
        <v>#REF!</v>
      </c>
      <c r="O49" s="19" t="e">
        <f>IF(N49&lt;$C$23,0,N49)</f>
        <v>#REF!</v>
      </c>
      <c r="P49" s="21">
        <v>0</v>
      </c>
      <c r="Q49" s="21" t="e">
        <f>IF(AND($F49&lt;=S$2,Q44&gt;0),Q44-1,0)</f>
        <v>#REF!</v>
      </c>
      <c r="R49" s="19" t="e">
        <f>IF(Q49&lt;$C$23,0,Q49)</f>
        <v>#REF!</v>
      </c>
      <c r="S49" s="21">
        <v>0</v>
      </c>
      <c r="T49" s="21" t="e">
        <f>IF(AND($F49&lt;=V$2,T44&gt;0),T44-1,0)</f>
        <v>#REF!</v>
      </c>
      <c r="U49" s="19" t="e">
        <f>IF(T49&lt;$C$23,0,T49)</f>
        <v>#REF!</v>
      </c>
      <c r="V49" s="21">
        <v>0</v>
      </c>
      <c r="W49" s="21" t="e">
        <f>IF(AND($F49&lt;=Y$2,W44&gt;0),W44-1,0)</f>
        <v>#REF!</v>
      </c>
      <c r="X49" s="19" t="e">
        <f>IF(W49&lt;$C$23,0,W49)</f>
        <v>#REF!</v>
      </c>
      <c r="Y49" s="21">
        <v>0</v>
      </c>
      <c r="Z49" s="21" t="e">
        <f>IF(AND($F49&lt;=AB$2,Z44&gt;0),Z44-1,0)</f>
        <v>#REF!</v>
      </c>
      <c r="AA49" s="19" t="e">
        <f>IF(Z49&lt;$C$23,0,Z49)</f>
        <v>#REF!</v>
      </c>
      <c r="AB49" s="21">
        <v>0</v>
      </c>
      <c r="AC49" s="21" t="e">
        <f>IF(AND($F49&lt;=AE$2,AC44&gt;0),AC44-1,0)</f>
        <v>#REF!</v>
      </c>
      <c r="AD49" s="19" t="e">
        <f>IF(AC49&lt;$C$23,0,AC49)</f>
        <v>#REF!</v>
      </c>
      <c r="AE49" s="21">
        <v>0</v>
      </c>
      <c r="AF49" s="21" t="e">
        <f>IF(AND($F49&lt;=AH$2,AF44&gt;0),AF44-1,0)</f>
        <v>#REF!</v>
      </c>
      <c r="AG49" s="19" t="e">
        <f>IF(AF49&lt;$C$23,0,AF49)</f>
        <v>#REF!</v>
      </c>
      <c r="AH49" s="21">
        <v>0</v>
      </c>
      <c r="AI49" s="21" t="e">
        <f>IF(AND($F49&lt;=AK$2,AI44&gt;0),AI44-1,0)</f>
        <v>#REF!</v>
      </c>
      <c r="AJ49" s="19" t="e">
        <f>IF(AI49&lt;$C$23,0,AI49)</f>
        <v>#REF!</v>
      </c>
      <c r="AK49" s="21">
        <v>0</v>
      </c>
      <c r="AL49" s="21" t="e">
        <f>IF(AND($F49&lt;=AN$2,AL44&gt;0),AL44-1,0)</f>
        <v>#REF!</v>
      </c>
      <c r="AM49" s="19" t="e">
        <f>IF(AL49&lt;$C$23,0,AL49)</f>
        <v>#REF!</v>
      </c>
      <c r="AN49" s="21">
        <v>0</v>
      </c>
      <c r="AO49" s="21" t="e">
        <f>IF(AND($F49&lt;=AQ$2,AO44&gt;0),AO44-1,0)</f>
        <v>#REF!</v>
      </c>
      <c r="AP49" s="19" t="e">
        <f>IF(AO49&lt;$C$23,0,AO49)</f>
        <v>#REF!</v>
      </c>
      <c r="AQ49" s="21">
        <v>0</v>
      </c>
      <c r="AR49" s="21" t="e">
        <f>IF(AND($F49&lt;=AT$2,AR44&gt;0),AR44-1,0)</f>
        <v>#REF!</v>
      </c>
      <c r="AS49" s="19" t="e">
        <f>IF(AR49&lt;$C$23,0,AR49)</f>
        <v>#REF!</v>
      </c>
      <c r="AT49" s="21">
        <v>0</v>
      </c>
      <c r="AU49" s="21" t="e">
        <f>IF(AND($F49&lt;=AW$2,AU44&gt;0),AU44-1,0)</f>
        <v>#REF!</v>
      </c>
      <c r="AV49" s="19" t="e">
        <f>IF(AU49&lt;$C$23,0,AU49)</f>
        <v>#REF!</v>
      </c>
      <c r="AW49" s="21">
        <v>0</v>
      </c>
      <c r="AX49" s="21" t="e">
        <f>IF(AND($F49&lt;=AZ$2,AX44&gt;0),AX44-1,0)</f>
        <v>#REF!</v>
      </c>
      <c r="AY49" s="19" t="e">
        <f>IF(AX49&lt;$C$23,0,AX49)</f>
        <v>#REF!</v>
      </c>
      <c r="AZ49" s="21">
        <v>0</v>
      </c>
      <c r="BA49" s="22" t="e">
        <f t="shared" si="1"/>
        <v>#REF!</v>
      </c>
      <c r="BC49" t="s">
        <v>209</v>
      </c>
      <c r="BD49" s="12">
        <v>585</v>
      </c>
      <c r="BE49" s="12">
        <v>51.6</v>
      </c>
      <c r="BF49" s="12">
        <v>43.4</v>
      </c>
      <c r="BG49" s="12">
        <v>-0.26</v>
      </c>
      <c r="BH49" s="12">
        <v>13.48</v>
      </c>
      <c r="BI49" s="12">
        <v>14.29</v>
      </c>
      <c r="BJ49" s="12"/>
      <c r="BK49" s="12"/>
      <c r="BM49" t="s">
        <v>210</v>
      </c>
      <c r="BN49">
        <v>7</v>
      </c>
      <c r="BO49">
        <v>13500</v>
      </c>
      <c r="BP49">
        <v>600</v>
      </c>
      <c r="BQ49">
        <v>120</v>
      </c>
      <c r="BR49" s="39">
        <v>16.3</v>
      </c>
      <c r="BS49" s="33">
        <v>16.3</v>
      </c>
      <c r="BT49" s="33">
        <v>16.3</v>
      </c>
      <c r="BU49" s="33"/>
      <c r="BV49" s="33"/>
      <c r="BW49" s="33"/>
      <c r="BX49" s="33"/>
      <c r="BY49" s="33"/>
      <c r="BZ49" s="33"/>
      <c r="CA49" s="33"/>
      <c r="CB49" s="33"/>
      <c r="CC49" s="33"/>
      <c r="CD49" s="33"/>
      <c r="CE49" s="33"/>
      <c r="CF49" s="34"/>
      <c r="CG49" s="33">
        <v>13</v>
      </c>
      <c r="CH49" s="33">
        <v>13</v>
      </c>
      <c r="CI49" s="33">
        <v>13</v>
      </c>
      <c r="CJ49" s="33"/>
      <c r="CK49" s="33"/>
      <c r="CL49" s="33"/>
      <c r="CM49" s="33"/>
      <c r="CN49" s="33"/>
      <c r="CO49" s="33"/>
      <c r="CP49" s="33"/>
      <c r="CQ49" s="33"/>
      <c r="CR49" s="33"/>
      <c r="CS49" s="33"/>
      <c r="CT49" s="33"/>
      <c r="CU49" s="34"/>
      <c r="CV49">
        <v>1</v>
      </c>
      <c r="CW49">
        <v>1</v>
      </c>
      <c r="CX49">
        <v>1</v>
      </c>
      <c r="DK49" s="15"/>
      <c r="DL49" s="15"/>
    </row>
    <row r="50" spans="2:116" ht="15.75" customHeight="1">
      <c r="F50" s="26">
        <v>2</v>
      </c>
      <c r="G50" s="27">
        <f t="shared" si="28"/>
        <v>0</v>
      </c>
      <c r="H50" s="21">
        <f>IF(AND($F50&lt;=J$2,H49&gt;0),H49*$F50,0)</f>
        <v>6</v>
      </c>
      <c r="I50" s="19">
        <f>IF(H49&lt;$C$23,0,H50)</f>
        <v>6</v>
      </c>
      <c r="J50" s="20">
        <v>0</v>
      </c>
      <c r="K50" s="21" t="e">
        <f>IF(AND($F50&lt;=M$2,K49&gt;0),K49*$F50,0)</f>
        <v>#REF!</v>
      </c>
      <c r="L50" s="19" t="e">
        <f>IF(K49&lt;$C$23,0,K50)</f>
        <v>#REF!</v>
      </c>
      <c r="M50" s="21">
        <v>0</v>
      </c>
      <c r="N50" s="21" t="e">
        <f>IF(AND($F50&lt;=P$2,N49&gt;0),N49*$F50,0)</f>
        <v>#REF!</v>
      </c>
      <c r="O50" s="19" t="e">
        <f>IF(N49&lt;$C$23,0,N50)</f>
        <v>#REF!</v>
      </c>
      <c r="P50" s="21">
        <v>0</v>
      </c>
      <c r="Q50" s="21" t="e">
        <f>IF(AND($F50&lt;=S$2,Q49&gt;0),Q49*$F50,0)</f>
        <v>#REF!</v>
      </c>
      <c r="R50" s="19" t="e">
        <f>IF(Q49&lt;$C$23,0,Q50)</f>
        <v>#REF!</v>
      </c>
      <c r="S50" s="21">
        <v>0</v>
      </c>
      <c r="T50" s="21" t="e">
        <f>IF(AND($F50&lt;=V$2,T49&gt;0),T49*$F50,0)</f>
        <v>#REF!</v>
      </c>
      <c r="U50" s="19" t="e">
        <f>IF(T49&lt;$C$23,0,T50)</f>
        <v>#REF!</v>
      </c>
      <c r="V50" s="21">
        <v>0</v>
      </c>
      <c r="W50" s="21" t="e">
        <f>IF(AND($F50&lt;=Y$2,W49&gt;0),W49*$F50,0)</f>
        <v>#REF!</v>
      </c>
      <c r="X50" s="19" t="e">
        <f>IF(W49&lt;$C$23,0,W50)</f>
        <v>#REF!</v>
      </c>
      <c r="Y50" s="21">
        <v>0</v>
      </c>
      <c r="Z50" s="21" t="e">
        <f>IF(AND($F50&lt;=AB$2,Z49&gt;0),Z49*$F50,0)</f>
        <v>#REF!</v>
      </c>
      <c r="AA50" s="19" t="e">
        <f>IF(Z49&lt;$C$23,0,Z50)</f>
        <v>#REF!</v>
      </c>
      <c r="AB50" s="21">
        <v>0</v>
      </c>
      <c r="AC50" s="21" t="e">
        <f>IF(AND($F50&lt;=AE$2,AC49&gt;0),AC49*$F50,0)</f>
        <v>#REF!</v>
      </c>
      <c r="AD50" s="19" t="e">
        <f>IF(AC49&lt;$C$23,0,AC50)</f>
        <v>#REF!</v>
      </c>
      <c r="AE50" s="21">
        <v>0</v>
      </c>
      <c r="AF50" s="21" t="e">
        <f>IF(AND($F50&lt;=AH$2,AF49&gt;0),AF49*$F50,0)</f>
        <v>#REF!</v>
      </c>
      <c r="AG50" s="19" t="e">
        <f>IF(AF49&lt;$C$23,0,AF50)</f>
        <v>#REF!</v>
      </c>
      <c r="AH50" s="21">
        <v>0</v>
      </c>
      <c r="AI50" s="21" t="e">
        <f>IF(AND($F50&lt;=AK$2,AI49&gt;0),AI49*$F50,0)</f>
        <v>#REF!</v>
      </c>
      <c r="AJ50" s="19" t="e">
        <f>IF(AI49&lt;$C$23,0,AI50)</f>
        <v>#REF!</v>
      </c>
      <c r="AK50" s="21">
        <v>0</v>
      </c>
      <c r="AL50" s="21" t="e">
        <f>IF(AND($F50&lt;=AN$2,AL49&gt;0),AL49*$F50,0)</f>
        <v>#REF!</v>
      </c>
      <c r="AM50" s="19" t="e">
        <f>IF(AL49&lt;$C$23,0,AL50)</f>
        <v>#REF!</v>
      </c>
      <c r="AN50" s="21">
        <v>0</v>
      </c>
      <c r="AO50" s="21" t="e">
        <f>IF(AND($F50&lt;=AQ$2,AO49&gt;0),AO49*$F50,0)</f>
        <v>#REF!</v>
      </c>
      <c r="AP50" s="19" t="e">
        <f>IF(AO49&lt;$C$23,0,AO50)</f>
        <v>#REF!</v>
      </c>
      <c r="AQ50" s="21">
        <v>0</v>
      </c>
      <c r="AR50" s="21" t="e">
        <f>IF(AND($F50&lt;=AT$2,AR49&gt;0),AR49*$F50,0)</f>
        <v>#REF!</v>
      </c>
      <c r="AS50" s="19" t="e">
        <f>IF(AR49&lt;$C$23,0,AR50)</f>
        <v>#REF!</v>
      </c>
      <c r="AT50" s="21">
        <v>0</v>
      </c>
      <c r="AU50" s="21" t="e">
        <f>IF(AND($F50&lt;=AW$2,AU49&gt;0),AU49*$F50,0)</f>
        <v>#REF!</v>
      </c>
      <c r="AV50" s="19" t="e">
        <f>IF(AU49&lt;$C$23,0,AU50)</f>
        <v>#REF!</v>
      </c>
      <c r="AW50" s="21">
        <v>0</v>
      </c>
      <c r="AX50" s="21" t="e">
        <f>IF(AND($F50&lt;=AZ$2,AX49&gt;0),AX49*$F50,0)</f>
        <v>#REF!</v>
      </c>
      <c r="AY50" s="19" t="e">
        <f>IF(AX49&lt;$C$23,0,AX50)</f>
        <v>#REF!</v>
      </c>
      <c r="AZ50" s="21">
        <v>0</v>
      </c>
      <c r="BA50" s="22" t="e">
        <f t="shared" si="1"/>
        <v>#REF!</v>
      </c>
      <c r="BC50" t="s">
        <v>211</v>
      </c>
      <c r="BD50">
        <v>610</v>
      </c>
      <c r="BE50">
        <v>48.72</v>
      </c>
      <c r="BF50">
        <v>40.590000000000003</v>
      </c>
      <c r="BG50">
        <v>-0.23</v>
      </c>
      <c r="BH50">
        <v>15.03</v>
      </c>
      <c r="BI50">
        <v>15.94</v>
      </c>
      <c r="BM50" t="s">
        <v>212</v>
      </c>
      <c r="BN50">
        <v>9</v>
      </c>
      <c r="BO50">
        <v>13500</v>
      </c>
      <c r="BP50">
        <v>600</v>
      </c>
      <c r="BQ50">
        <v>120</v>
      </c>
      <c r="BR50" s="39">
        <v>16.3</v>
      </c>
      <c r="BS50" s="33">
        <v>16.3</v>
      </c>
      <c r="BT50" s="33">
        <v>16.3</v>
      </c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4"/>
      <c r="CG50" s="33">
        <v>13</v>
      </c>
      <c r="CH50" s="33">
        <v>13</v>
      </c>
      <c r="CI50" s="33">
        <v>13</v>
      </c>
      <c r="CJ50" s="33"/>
      <c r="CK50" s="33"/>
      <c r="CL50" s="33"/>
      <c r="CM50" s="33"/>
      <c r="CN50" s="33"/>
      <c r="CO50" s="33"/>
      <c r="CP50" s="33"/>
      <c r="CQ50" s="33"/>
      <c r="CR50" s="33"/>
      <c r="CS50" s="33"/>
      <c r="CT50" s="33"/>
      <c r="CU50" s="34"/>
      <c r="CV50">
        <v>1</v>
      </c>
      <c r="CW50">
        <v>1</v>
      </c>
      <c r="CX50">
        <v>1</v>
      </c>
      <c r="DK50" s="41"/>
      <c r="DL50" s="41"/>
    </row>
    <row r="51" spans="2:116" ht="15.75" customHeight="1">
      <c r="F51" s="26">
        <v>3</v>
      </c>
      <c r="G51" s="27">
        <f t="shared" si="28"/>
        <v>0</v>
      </c>
      <c r="H51" s="21">
        <f>IF(AND($F51&lt;=J$2,H49&gt;0),H49*$F51,0)</f>
        <v>9</v>
      </c>
      <c r="I51" s="19">
        <f>IF(H49&lt;$C$23,0,H51)</f>
        <v>9</v>
      </c>
      <c r="J51" s="20">
        <v>0</v>
      </c>
      <c r="K51" s="21" t="e">
        <f>IF(AND($F51&lt;=M$2,K49&gt;0),K49*$F51,0)</f>
        <v>#REF!</v>
      </c>
      <c r="L51" s="19" t="e">
        <f>IF(K49&lt;$C$23,0,K51)</f>
        <v>#REF!</v>
      </c>
      <c r="M51" s="21">
        <v>0</v>
      </c>
      <c r="N51" s="21" t="e">
        <f>IF(AND($F51&lt;=P$2,N49&gt;0),N49*$F51,0)</f>
        <v>#REF!</v>
      </c>
      <c r="O51" s="19" t="e">
        <f>IF(N49&lt;$C$23,0,N51)</f>
        <v>#REF!</v>
      </c>
      <c r="P51" s="21">
        <v>0</v>
      </c>
      <c r="Q51" s="21" t="e">
        <f>IF(AND($F51&lt;=S$2,Q49&gt;0),Q49*$F51,0)</f>
        <v>#REF!</v>
      </c>
      <c r="R51" s="19" t="e">
        <f>IF(Q49&lt;$C$23,0,Q51)</f>
        <v>#REF!</v>
      </c>
      <c r="S51" s="21">
        <v>0</v>
      </c>
      <c r="T51" s="21" t="e">
        <f>IF(AND($F51&lt;=V$2,T49&gt;0),T49*$F51,0)</f>
        <v>#REF!</v>
      </c>
      <c r="U51" s="19" t="e">
        <f>IF(T49&lt;$C$23,0,T51)</f>
        <v>#REF!</v>
      </c>
      <c r="V51" s="21">
        <v>0</v>
      </c>
      <c r="W51" s="21" t="e">
        <f>IF(AND($F51&lt;=Y$2,W49&gt;0),W49*$F51,0)</f>
        <v>#REF!</v>
      </c>
      <c r="X51" s="19" t="e">
        <f>IF(W49&lt;$C$23,0,W51)</f>
        <v>#REF!</v>
      </c>
      <c r="Y51" s="21">
        <v>0</v>
      </c>
      <c r="Z51" s="21" t="e">
        <f>IF(AND($F51&lt;=AB$2,Z49&gt;0),Z49*$F51,0)</f>
        <v>#REF!</v>
      </c>
      <c r="AA51" s="19" t="e">
        <f>IF(Z49&lt;$C$23,0,Z51)</f>
        <v>#REF!</v>
      </c>
      <c r="AB51" s="21">
        <v>0</v>
      </c>
      <c r="AC51" s="21" t="e">
        <f>IF(AND($F51&lt;=AE$2,AC49&gt;0),AC49*$F51,0)</f>
        <v>#REF!</v>
      </c>
      <c r="AD51" s="19" t="e">
        <f>IF(AC49&lt;$C$23,0,AC51)</f>
        <v>#REF!</v>
      </c>
      <c r="AE51" s="21">
        <v>0</v>
      </c>
      <c r="AF51" s="21" t="e">
        <f>IF(AND($F51&lt;=AH$2,AF49&gt;0),AF49*$F51,0)</f>
        <v>#REF!</v>
      </c>
      <c r="AG51" s="19" t="e">
        <f>IF(AF49&lt;$C$23,0,AF51)</f>
        <v>#REF!</v>
      </c>
      <c r="AH51" s="21">
        <v>0</v>
      </c>
      <c r="AI51" s="21" t="e">
        <f>IF(AND($F51&lt;=AK$2,AI49&gt;0),AI49*$F51,0)</f>
        <v>#REF!</v>
      </c>
      <c r="AJ51" s="19" t="e">
        <f>IF(AI49&lt;$C$23,0,AI51)</f>
        <v>#REF!</v>
      </c>
      <c r="AK51" s="21">
        <v>0</v>
      </c>
      <c r="AL51" s="21" t="e">
        <f>IF(AND($F51&lt;=AN$2,AL49&gt;0),AL49*$F51,0)</f>
        <v>#REF!</v>
      </c>
      <c r="AM51" s="19" t="e">
        <f>IF(AL49&lt;$C$23,0,AL51)</f>
        <v>#REF!</v>
      </c>
      <c r="AN51" s="21">
        <v>0</v>
      </c>
      <c r="AO51" s="21" t="e">
        <f>IF(AND($F51&lt;=AQ$2,AO49&gt;0),AO49*$F51,0)</f>
        <v>#REF!</v>
      </c>
      <c r="AP51" s="19" t="e">
        <f>IF(AO49&lt;$C$23,0,AO51)</f>
        <v>#REF!</v>
      </c>
      <c r="AQ51" s="21">
        <v>0</v>
      </c>
      <c r="AR51" s="21" t="e">
        <f>IF(AND($F51&lt;=AT$2,AR49&gt;0),AR49*$F51,0)</f>
        <v>#REF!</v>
      </c>
      <c r="AS51" s="19" t="e">
        <f>IF(AR49&lt;$C$23,0,AR51)</f>
        <v>#REF!</v>
      </c>
      <c r="AT51" s="21">
        <v>0</v>
      </c>
      <c r="AU51" s="21" t="e">
        <f>IF(AND($F51&lt;=AW$2,AU49&gt;0),AU49*$F51,0)</f>
        <v>#REF!</v>
      </c>
      <c r="AV51" s="19" t="e">
        <f>IF(AU49&lt;$C$23,0,AU51)</f>
        <v>#REF!</v>
      </c>
      <c r="AW51" s="21">
        <v>0</v>
      </c>
      <c r="AX51" s="21" t="e">
        <f>IF(AND($F51&lt;=AZ$2,AX49&gt;0),AX49*$F51,0)</f>
        <v>#REF!</v>
      </c>
      <c r="AY51" s="19" t="e">
        <f>IF(AX49&lt;$C$23,0,AX51)</f>
        <v>#REF!</v>
      </c>
      <c r="AZ51" s="21">
        <v>0</v>
      </c>
      <c r="BA51" s="22" t="e">
        <f t="shared" si="1"/>
        <v>#REF!</v>
      </c>
      <c r="BC51" t="s">
        <v>213</v>
      </c>
      <c r="BD51" s="12">
        <v>670</v>
      </c>
      <c r="BE51" s="12">
        <v>45.8</v>
      </c>
      <c r="BF51" s="12">
        <v>38.700000000000003</v>
      </c>
      <c r="BG51" s="12">
        <v>-0.27400000000000002</v>
      </c>
      <c r="BH51" s="12">
        <v>17.32</v>
      </c>
      <c r="BI51" s="12">
        <v>18.55</v>
      </c>
      <c r="BJ51" s="12"/>
      <c r="BK51" s="12"/>
      <c r="BM51" t="s">
        <v>214</v>
      </c>
      <c r="BN51">
        <v>8</v>
      </c>
      <c r="BO51">
        <v>10560</v>
      </c>
      <c r="BP51">
        <v>550</v>
      </c>
      <c r="BQ51">
        <v>100</v>
      </c>
      <c r="BR51" s="39">
        <v>32</v>
      </c>
      <c r="BS51" s="33">
        <v>16</v>
      </c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4"/>
      <c r="CG51" s="33">
        <v>25</v>
      </c>
      <c r="CH51" s="33">
        <v>12.5</v>
      </c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4"/>
      <c r="CV51">
        <v>2</v>
      </c>
      <c r="CW51">
        <v>1</v>
      </c>
      <c r="DK51" s="15"/>
      <c r="DL51" s="15"/>
    </row>
    <row r="52" spans="2:116" ht="15.75" customHeight="1">
      <c r="F52" s="26">
        <v>4</v>
      </c>
      <c r="G52" s="27">
        <f t="shared" si="28"/>
        <v>0</v>
      </c>
      <c r="H52" s="21">
        <f>IF(AND($F52&lt;=J$2,H49&gt;0),H49*$F52,0)</f>
        <v>12</v>
      </c>
      <c r="I52" s="19">
        <f>IF(H49&lt;$C$23,0,H52)</f>
        <v>12</v>
      </c>
      <c r="J52" s="20">
        <v>0</v>
      </c>
      <c r="K52" s="21" t="e">
        <f>IF(AND($F52&lt;=M$2,K49&gt;0),K49*$F52,0)</f>
        <v>#REF!</v>
      </c>
      <c r="L52" s="19" t="e">
        <f>IF(K49&lt;$C$23,0,K52)</f>
        <v>#REF!</v>
      </c>
      <c r="M52" s="21">
        <v>0</v>
      </c>
      <c r="N52" s="21" t="e">
        <f>IF(AND($F52&lt;=P$2,N49&gt;0),N49*$F52,0)</f>
        <v>#REF!</v>
      </c>
      <c r="O52" s="19" t="e">
        <f>IF(N49&lt;$C$23,0,N52)</f>
        <v>#REF!</v>
      </c>
      <c r="P52" s="21">
        <v>0</v>
      </c>
      <c r="Q52" s="21" t="e">
        <f>IF(AND($F52&lt;=S$2,Q49&gt;0),Q49*$F52,0)</f>
        <v>#REF!</v>
      </c>
      <c r="R52" s="19" t="e">
        <f>IF(Q49&lt;$C$23,0,Q52)</f>
        <v>#REF!</v>
      </c>
      <c r="S52" s="21">
        <v>0</v>
      </c>
      <c r="T52" s="21" t="e">
        <f>IF(AND($F52&lt;=V$2,T49&gt;0),T49*$F52,0)</f>
        <v>#REF!</v>
      </c>
      <c r="U52" s="19" t="e">
        <f>IF(T49&lt;$C$23,0,T52)</f>
        <v>#REF!</v>
      </c>
      <c r="V52" s="21">
        <v>0</v>
      </c>
      <c r="W52" s="21" t="e">
        <f>IF(AND($F52&lt;=Y$2,W49&gt;0),W49*$F52,0)</f>
        <v>#REF!</v>
      </c>
      <c r="X52" s="19" t="e">
        <f>IF(W49&lt;$C$23,0,W52)</f>
        <v>#REF!</v>
      </c>
      <c r="Y52" s="21">
        <v>0</v>
      </c>
      <c r="Z52" s="21" t="e">
        <f>IF(AND($F52&lt;=AB$2,Z49&gt;0),Z49*$F52,0)</f>
        <v>#REF!</v>
      </c>
      <c r="AA52" s="19" t="e">
        <f>IF(Z49&lt;$C$23,0,Z52)</f>
        <v>#REF!</v>
      </c>
      <c r="AB52" s="21">
        <v>0</v>
      </c>
      <c r="AC52" s="21" t="e">
        <f>IF(AND($F52&lt;=AE$2,AC49&gt;0),AC49*$F52,0)</f>
        <v>#REF!</v>
      </c>
      <c r="AD52" s="19" t="e">
        <f>IF(AC49&lt;$C$23,0,AC52)</f>
        <v>#REF!</v>
      </c>
      <c r="AE52" s="21">
        <v>0</v>
      </c>
      <c r="AF52" s="21" t="e">
        <f>IF(AND($F52&lt;=AH$2,AF49&gt;0),AF49*$F52,0)</f>
        <v>#REF!</v>
      </c>
      <c r="AG52" s="19" t="e">
        <f>IF(AF49&lt;$C$23,0,AF52)</f>
        <v>#REF!</v>
      </c>
      <c r="AH52" s="21">
        <v>0</v>
      </c>
      <c r="AI52" s="21" t="e">
        <f>IF(AND($F52&lt;=AK$2,AI49&gt;0),AI49*$F52,0)</f>
        <v>#REF!</v>
      </c>
      <c r="AJ52" s="19" t="e">
        <f>IF(AI49&lt;$C$23,0,AI52)</f>
        <v>#REF!</v>
      </c>
      <c r="AK52" s="21">
        <v>0</v>
      </c>
      <c r="AL52" s="21" t="e">
        <f>IF(AND($F52&lt;=AN$2,AL49&gt;0),AL49*$F52,0)</f>
        <v>#REF!</v>
      </c>
      <c r="AM52" s="19" t="e">
        <f>IF(AL49&lt;$C$23,0,AL52)</f>
        <v>#REF!</v>
      </c>
      <c r="AN52" s="21">
        <v>0</v>
      </c>
      <c r="AO52" s="21" t="e">
        <f>IF(AND($F52&lt;=AQ$2,AO49&gt;0),AO49*$F52,0)</f>
        <v>#REF!</v>
      </c>
      <c r="AP52" s="19" t="e">
        <f>IF(AO49&lt;$C$23,0,AO52)</f>
        <v>#REF!</v>
      </c>
      <c r="AQ52" s="21">
        <v>0</v>
      </c>
      <c r="AR52" s="21" t="e">
        <f>IF(AND($F52&lt;=AT$2,AR49&gt;0),AR49*$F52,0)</f>
        <v>#REF!</v>
      </c>
      <c r="AS52" s="19" t="e">
        <f>IF(AR49&lt;$C$23,0,AR52)</f>
        <v>#REF!</v>
      </c>
      <c r="AT52" s="21">
        <v>0</v>
      </c>
      <c r="AU52" s="21" t="e">
        <f>IF(AND($F52&lt;=AW$2,AU49&gt;0),AU49*$F52,0)</f>
        <v>#REF!</v>
      </c>
      <c r="AV52" s="19" t="e">
        <f>IF(AU49&lt;$C$23,0,AU52)</f>
        <v>#REF!</v>
      </c>
      <c r="AW52" s="21">
        <v>0</v>
      </c>
      <c r="AX52" s="21" t="e">
        <f>IF(AND($F52&lt;=AZ$2,AX49&gt;0),AX49*$F52,0)</f>
        <v>#REF!</v>
      </c>
      <c r="AY52" s="19" t="e">
        <f>IF(AX49&lt;$C$23,0,AX52)</f>
        <v>#REF!</v>
      </c>
      <c r="AZ52" s="21">
        <v>0</v>
      </c>
      <c r="BA52" s="22" t="e">
        <f t="shared" si="1"/>
        <v>#REF!</v>
      </c>
      <c r="BC52" t="s">
        <v>215</v>
      </c>
      <c r="BD52" s="12">
        <v>690</v>
      </c>
      <c r="BE52" s="12">
        <v>47.8</v>
      </c>
      <c r="BF52" s="12">
        <v>40</v>
      </c>
      <c r="BG52" s="12">
        <v>-0.23</v>
      </c>
      <c r="BH52" s="12">
        <v>17.25</v>
      </c>
      <c r="BI52" s="12">
        <v>18.260000000000002</v>
      </c>
      <c r="BJ52" s="12"/>
      <c r="BK52" s="12"/>
      <c r="BM52" t="s">
        <v>216</v>
      </c>
      <c r="BN52">
        <v>17</v>
      </c>
      <c r="BO52">
        <v>25500</v>
      </c>
      <c r="BP52">
        <v>1100</v>
      </c>
      <c r="BQ52">
        <v>250</v>
      </c>
      <c r="BR52" s="39">
        <v>32</v>
      </c>
      <c r="BS52" s="33">
        <v>32</v>
      </c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4"/>
      <c r="CG52" s="33">
        <v>25</v>
      </c>
      <c r="CH52" s="33">
        <v>25</v>
      </c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4"/>
      <c r="CV52">
        <v>2</v>
      </c>
      <c r="CW52">
        <v>2</v>
      </c>
      <c r="DK52" s="25"/>
      <c r="DL52" s="25"/>
    </row>
    <row r="53" spans="2:116" ht="15.75" customHeight="1">
      <c r="F53" s="26">
        <v>5</v>
      </c>
      <c r="G53" s="27">
        <f t="shared" si="28"/>
        <v>0</v>
      </c>
      <c r="H53" s="21">
        <f>IF(AND($F53&lt;=J$2,H49&gt;0),H49*$F53,0)</f>
        <v>15</v>
      </c>
      <c r="I53" s="19">
        <f>IF(H49&lt;$C$23,0,H53)</f>
        <v>15</v>
      </c>
      <c r="J53" s="20">
        <v>0</v>
      </c>
      <c r="K53" s="21" t="e">
        <f>IF(AND($F53&lt;=M$2,K49&gt;0),K49*$F53,0)</f>
        <v>#REF!</v>
      </c>
      <c r="L53" s="19" t="e">
        <f>IF(K49&lt;$C$23,0,K53)</f>
        <v>#REF!</v>
      </c>
      <c r="M53" s="21">
        <v>0</v>
      </c>
      <c r="N53" s="21" t="e">
        <f>IF(AND($F53&lt;=P$2,N49&gt;0),N49*$F53,0)</f>
        <v>#REF!</v>
      </c>
      <c r="O53" s="19" t="e">
        <f>IF(N49&lt;$C$23,0,N53)</f>
        <v>#REF!</v>
      </c>
      <c r="P53" s="21">
        <v>0</v>
      </c>
      <c r="Q53" s="21" t="e">
        <f>IF(AND($F53&lt;=S$2,Q49&gt;0),Q49*$F53,0)</f>
        <v>#REF!</v>
      </c>
      <c r="R53" s="19" t="e">
        <f>IF(Q49&lt;$C$23,0,Q53)</f>
        <v>#REF!</v>
      </c>
      <c r="S53" s="21">
        <v>0</v>
      </c>
      <c r="T53" s="21" t="e">
        <f>IF(AND($F53&lt;=V$2,T49&gt;0),T49*$F53,0)</f>
        <v>#REF!</v>
      </c>
      <c r="U53" s="19" t="e">
        <f>IF(T49&lt;$C$23,0,T53)</f>
        <v>#REF!</v>
      </c>
      <c r="V53" s="21">
        <v>0</v>
      </c>
      <c r="W53" s="21" t="e">
        <f>IF(AND($F53&lt;=Y$2,W49&gt;0),W49*$F53,0)</f>
        <v>#REF!</v>
      </c>
      <c r="X53" s="19" t="e">
        <f>IF(W49&lt;$C$23,0,W53)</f>
        <v>#REF!</v>
      </c>
      <c r="Y53" s="21">
        <v>0</v>
      </c>
      <c r="Z53" s="21" t="e">
        <f>IF(AND($F53&lt;=AB$2,Z49&gt;0),Z49*$F53,0)</f>
        <v>#REF!</v>
      </c>
      <c r="AA53" s="19" t="e">
        <f>IF(Z49&lt;$C$23,0,Z53)</f>
        <v>#REF!</v>
      </c>
      <c r="AB53" s="21">
        <v>0</v>
      </c>
      <c r="AC53" s="21" t="e">
        <f>IF(AND($F53&lt;=AE$2,AC49&gt;0),AC49*$F53,0)</f>
        <v>#REF!</v>
      </c>
      <c r="AD53" s="19" t="e">
        <f>IF(AC49&lt;$C$23,0,AC53)</f>
        <v>#REF!</v>
      </c>
      <c r="AE53" s="21">
        <v>0</v>
      </c>
      <c r="AF53" s="21" t="e">
        <f>IF(AND($F53&lt;=AH$2,AF49&gt;0),AF49*$F53,0)</f>
        <v>#REF!</v>
      </c>
      <c r="AG53" s="19" t="e">
        <f>IF(AF49&lt;$C$23,0,AF53)</f>
        <v>#REF!</v>
      </c>
      <c r="AH53" s="21">
        <v>0</v>
      </c>
      <c r="AI53" s="21" t="e">
        <f>IF(AND($F53&lt;=AK$2,AI49&gt;0),AI49*$F53,0)</f>
        <v>#REF!</v>
      </c>
      <c r="AJ53" s="19" t="e">
        <f>IF(AI49&lt;$C$23,0,AI53)</f>
        <v>#REF!</v>
      </c>
      <c r="AK53" s="21">
        <v>0</v>
      </c>
      <c r="AL53" s="21" t="e">
        <f>IF(AND($F53&lt;=AN$2,AL49&gt;0),AL49*$F53,0)</f>
        <v>#REF!</v>
      </c>
      <c r="AM53" s="19" t="e">
        <f>IF(AL49&lt;$C$23,0,AL53)</f>
        <v>#REF!</v>
      </c>
      <c r="AN53" s="21">
        <v>0</v>
      </c>
      <c r="AO53" s="21" t="e">
        <f>IF(AND($F53&lt;=AQ$2,AO49&gt;0),AO49*$F53,0)</f>
        <v>#REF!</v>
      </c>
      <c r="AP53" s="19" t="e">
        <f>IF(AO49&lt;$C$23,0,AO53)</f>
        <v>#REF!</v>
      </c>
      <c r="AQ53" s="21">
        <v>0</v>
      </c>
      <c r="AR53" s="21" t="e">
        <f>IF(AND($F53&lt;=AT$2,AR49&gt;0),AR49*$F53,0)</f>
        <v>#REF!</v>
      </c>
      <c r="AS53" s="19" t="e">
        <f>IF(AR49&lt;$C$23,0,AR53)</f>
        <v>#REF!</v>
      </c>
      <c r="AT53" s="21">
        <v>0</v>
      </c>
      <c r="AU53" s="21" t="e">
        <f>IF(AND($F53&lt;=AW$2,AU49&gt;0),AU49*$F53,0)</f>
        <v>#REF!</v>
      </c>
      <c r="AV53" s="19" t="e">
        <f>IF(AU49&lt;$C$23,0,AU53)</f>
        <v>#REF!</v>
      </c>
      <c r="AW53" s="21">
        <v>0</v>
      </c>
      <c r="AX53" s="21" t="e">
        <f>IF(AND($F53&lt;=AZ$2,AX49&gt;0),AX49*$F53,0)</f>
        <v>#REF!</v>
      </c>
      <c r="AY53" s="19" t="e">
        <f>IF(AX49&lt;$C$23,0,AX53)</f>
        <v>#REF!</v>
      </c>
      <c r="AZ53" s="21">
        <v>0</v>
      </c>
      <c r="BA53" s="22" t="e">
        <f t="shared" si="1"/>
        <v>#REF!</v>
      </c>
      <c r="BC53" t="s">
        <v>217</v>
      </c>
      <c r="BD53" s="12">
        <v>700</v>
      </c>
      <c r="BE53" s="12">
        <v>49.77</v>
      </c>
      <c r="BF53" s="12">
        <v>41.78</v>
      </c>
      <c r="BG53" s="12">
        <v>-0.22</v>
      </c>
      <c r="BH53" s="12">
        <v>16.760000000000002</v>
      </c>
      <c r="BI53" s="12">
        <v>17.809999999999999</v>
      </c>
      <c r="BJ53" s="12"/>
      <c r="BK53" s="12"/>
      <c r="BM53" t="s">
        <v>218</v>
      </c>
      <c r="BN53">
        <v>25</v>
      </c>
      <c r="BO53">
        <v>37500</v>
      </c>
      <c r="BP53">
        <v>1100</v>
      </c>
      <c r="BQ53">
        <v>250</v>
      </c>
      <c r="BR53" s="39">
        <v>32</v>
      </c>
      <c r="BS53" s="33">
        <v>48</v>
      </c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4"/>
      <c r="CG53" s="33">
        <v>25</v>
      </c>
      <c r="CH53" s="33">
        <v>37.5</v>
      </c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4"/>
      <c r="CV53">
        <v>2</v>
      </c>
      <c r="CW53">
        <v>3</v>
      </c>
      <c r="DK53" s="15"/>
      <c r="DL53" s="15"/>
    </row>
    <row r="54" spans="2:116" ht="15.75" customHeight="1">
      <c r="B54" t="s">
        <v>219</v>
      </c>
      <c r="C54" s="42">
        <f>$C$15*1.3*1000</f>
        <v>13650</v>
      </c>
      <c r="F54" s="26">
        <v>1</v>
      </c>
      <c r="G54" s="27">
        <f t="shared" ref="G54:G58" si="29">IF(OR(J54&lt;&gt;0,M54&lt;&gt;0,P54&lt;&gt;0,S54&lt;&gt;0,V54&lt;&gt;0,Y54&lt;&gt;0,AB54&lt;&gt;0,AE54&lt;&gt;0,AH54&lt;&gt;0,AK54&lt;&gt;0,AN54&lt;&gt;0,AQ54&lt;&gt;0,AT54&lt;&gt;0,AW54&lt;&gt;0,AZ54&lt;&gt;0),$C$26-10,0)</f>
        <v>0</v>
      </c>
      <c r="H54" s="21">
        <f>IF(AND($F54&lt;=J$2,H49&gt;0),H49-1,0)</f>
        <v>2</v>
      </c>
      <c r="I54" s="19">
        <f>IF(H54&lt;$C$23,0,H54)</f>
        <v>2</v>
      </c>
      <c r="J54" s="20">
        <v>0</v>
      </c>
      <c r="K54" s="21" t="e">
        <f>IF(AND($F54&lt;=M$2,K49&gt;0),K49-1,0)</f>
        <v>#REF!</v>
      </c>
      <c r="L54" s="19" t="e">
        <f>IF(K54&lt;$C$23,0,K54)</f>
        <v>#REF!</v>
      </c>
      <c r="M54" s="21">
        <v>0</v>
      </c>
      <c r="N54" s="21" t="e">
        <f>IF(AND($F54&lt;=P$2,N49&gt;0),N49-1,0)</f>
        <v>#REF!</v>
      </c>
      <c r="O54" s="19" t="e">
        <f>IF(N54&lt;$C$23,0,N54)</f>
        <v>#REF!</v>
      </c>
      <c r="P54" s="21">
        <v>0</v>
      </c>
      <c r="Q54" s="21" t="e">
        <f>IF(AND($F54&lt;=S$2,Q49&gt;0),Q49-1,0)</f>
        <v>#REF!</v>
      </c>
      <c r="R54" s="19" t="e">
        <f>IF(Q54&lt;$C$23,0,Q54)</f>
        <v>#REF!</v>
      </c>
      <c r="S54" s="21">
        <v>0</v>
      </c>
      <c r="T54" s="21" t="e">
        <f>IF(AND($F54&lt;=V$2,T49&gt;0),T49-1,0)</f>
        <v>#REF!</v>
      </c>
      <c r="U54" s="19" t="e">
        <f>IF(T54&lt;$C$23,0,T54)</f>
        <v>#REF!</v>
      </c>
      <c r="V54" s="21">
        <v>0</v>
      </c>
      <c r="W54" s="21" t="e">
        <f>IF(AND($F54&lt;=Y$2,W49&gt;0),W49-1,0)</f>
        <v>#REF!</v>
      </c>
      <c r="X54" s="19" t="e">
        <f>IF(W54&lt;$C$23,0,W54)</f>
        <v>#REF!</v>
      </c>
      <c r="Y54" s="21">
        <v>0</v>
      </c>
      <c r="Z54" s="21" t="e">
        <f>IF(AND($F54&lt;=AB$2,Z49&gt;0),Z49-1,0)</f>
        <v>#REF!</v>
      </c>
      <c r="AA54" s="19" t="e">
        <f>IF(Z54&lt;$C$23,0,Z54)</f>
        <v>#REF!</v>
      </c>
      <c r="AB54" s="21">
        <v>0</v>
      </c>
      <c r="AC54" s="21" t="e">
        <f>IF(AND($F54&lt;=AE$2,AC49&gt;0),AC49-1,0)</f>
        <v>#REF!</v>
      </c>
      <c r="AD54" s="19" t="e">
        <f>IF(AC54&lt;$C$23,0,AC54)</f>
        <v>#REF!</v>
      </c>
      <c r="AE54" s="21">
        <v>0</v>
      </c>
      <c r="AF54" s="21" t="e">
        <f>IF(AND($F54&lt;=AH$2,AF49&gt;0),AF49-1,0)</f>
        <v>#REF!</v>
      </c>
      <c r="AG54" s="19" t="e">
        <f>IF(AF54&lt;$C$23,0,AF54)</f>
        <v>#REF!</v>
      </c>
      <c r="AH54" s="21">
        <v>0</v>
      </c>
      <c r="AI54" s="21" t="e">
        <f>IF(AND($F54&lt;=AK$2,AI49&gt;0),AI49-1,0)</f>
        <v>#REF!</v>
      </c>
      <c r="AJ54" s="19" t="e">
        <f>IF(AI54&lt;$C$23,0,AI54)</f>
        <v>#REF!</v>
      </c>
      <c r="AK54" s="21">
        <v>0</v>
      </c>
      <c r="AL54" s="21" t="e">
        <f>IF(AND($F54&lt;=AN$2,AL49&gt;0),AL49-1,0)</f>
        <v>#REF!</v>
      </c>
      <c r="AM54" s="19" t="e">
        <f>IF(AL54&lt;$C$23,0,AL54)</f>
        <v>#REF!</v>
      </c>
      <c r="AN54" s="21">
        <v>0</v>
      </c>
      <c r="AO54" s="21" t="e">
        <f>IF(AND($F54&lt;=AQ$2,AO49&gt;0),AO49-1,0)</f>
        <v>#REF!</v>
      </c>
      <c r="AP54" s="19" t="e">
        <f>IF(AO54&lt;$C$23,0,AO54)</f>
        <v>#REF!</v>
      </c>
      <c r="AQ54" s="21">
        <v>0</v>
      </c>
      <c r="AR54" s="21" t="e">
        <f>IF(AND($F54&lt;=AT$2,AR49&gt;0),AR49-1,0)</f>
        <v>#REF!</v>
      </c>
      <c r="AS54" s="19" t="e">
        <f>IF(AR54&lt;$C$23,0,AR54)</f>
        <v>#REF!</v>
      </c>
      <c r="AT54" s="21">
        <v>0</v>
      </c>
      <c r="AU54" s="21" t="e">
        <f>IF(AND($F54&lt;=AW$2,AU49&gt;0),AU49-1,0)</f>
        <v>#REF!</v>
      </c>
      <c r="AV54" s="19" t="e">
        <f>IF(AU54&lt;$C$23,0,AU54)</f>
        <v>#REF!</v>
      </c>
      <c r="AW54" s="21">
        <v>0</v>
      </c>
      <c r="AX54" s="21" t="e">
        <f>IF(AND($F54&lt;=AZ$2,AX49&gt;0),AX49-1,0)</f>
        <v>#REF!</v>
      </c>
      <c r="AY54" s="19" t="e">
        <f>IF(AX54&lt;$C$23,0,AX54)</f>
        <v>#REF!</v>
      </c>
      <c r="AZ54" s="21">
        <v>0</v>
      </c>
      <c r="BA54" s="22" t="e">
        <f t="shared" si="1"/>
        <v>#REF!</v>
      </c>
      <c r="BC54" t="s">
        <v>220</v>
      </c>
      <c r="BD54" s="12">
        <v>700</v>
      </c>
      <c r="BE54" s="12">
        <v>48.2</v>
      </c>
      <c r="BF54" s="12">
        <v>40.4</v>
      </c>
      <c r="BG54" s="12">
        <v>-0.23</v>
      </c>
      <c r="BH54" s="12">
        <v>17.329999999999998</v>
      </c>
      <c r="BI54" s="12">
        <v>18.34</v>
      </c>
      <c r="BJ54" s="12"/>
      <c r="BK54" s="12"/>
      <c r="BM54" t="s">
        <v>221</v>
      </c>
      <c r="BN54">
        <v>4.2</v>
      </c>
      <c r="BO54">
        <v>5880</v>
      </c>
      <c r="BP54">
        <v>550</v>
      </c>
      <c r="BQ54">
        <v>100</v>
      </c>
      <c r="BR54" s="39">
        <v>16</v>
      </c>
      <c r="BS54" s="33">
        <v>16</v>
      </c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4"/>
      <c r="CG54" s="33">
        <v>12.5</v>
      </c>
      <c r="CH54" s="33">
        <v>12.5</v>
      </c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4"/>
      <c r="CV54">
        <v>1</v>
      </c>
      <c r="CW54">
        <v>1</v>
      </c>
      <c r="DK54" s="25"/>
      <c r="DL54" s="25"/>
    </row>
    <row r="55" spans="2:116" ht="15.75" customHeight="1">
      <c r="B55" t="s">
        <v>222</v>
      </c>
      <c r="C55" t="e">
        <f>$C$21</f>
        <v>#REF!</v>
      </c>
      <c r="F55" s="26">
        <v>2</v>
      </c>
      <c r="G55" s="27">
        <f t="shared" si="29"/>
        <v>0</v>
      </c>
      <c r="H55" s="21">
        <f>IF(AND($F55&lt;=J$2,H54&gt;0),H54*$F55,0)</f>
        <v>4</v>
      </c>
      <c r="I55" s="19">
        <f>IF(H54&lt;$C$23,0,H55)</f>
        <v>4</v>
      </c>
      <c r="J55" s="20">
        <v>0</v>
      </c>
      <c r="K55" s="21" t="e">
        <f>IF(AND($F55&lt;=M$2,K54&gt;0),K54*$F55,0)</f>
        <v>#REF!</v>
      </c>
      <c r="L55" s="19" t="e">
        <f>IF(K54&lt;$C$23,0,K55)</f>
        <v>#REF!</v>
      </c>
      <c r="M55" s="21">
        <v>0</v>
      </c>
      <c r="N55" s="21" t="e">
        <f>IF(AND($F55&lt;=P$2,N54&gt;0),N54*$F55,0)</f>
        <v>#REF!</v>
      </c>
      <c r="O55" s="19" t="e">
        <f>IF(N54&lt;$C$23,0,N55)</f>
        <v>#REF!</v>
      </c>
      <c r="P55" s="21">
        <v>0</v>
      </c>
      <c r="Q55" s="21" t="e">
        <f>IF(AND($F55&lt;=S$2,Q54&gt;0),Q54*$F55,0)</f>
        <v>#REF!</v>
      </c>
      <c r="R55" s="19" t="e">
        <f>IF(Q54&lt;$C$23,0,Q55)</f>
        <v>#REF!</v>
      </c>
      <c r="S55" s="21">
        <v>0</v>
      </c>
      <c r="T55" s="21" t="e">
        <f>IF(AND($F55&lt;=V$2,T54&gt;0),T54*$F55,0)</f>
        <v>#REF!</v>
      </c>
      <c r="U55" s="19" t="e">
        <f>IF(T54&lt;$C$23,0,T55)</f>
        <v>#REF!</v>
      </c>
      <c r="V55" s="21">
        <v>0</v>
      </c>
      <c r="W55" s="21" t="e">
        <f>IF(AND($F55&lt;=Y$2,W54&gt;0),W54*$F55,0)</f>
        <v>#REF!</v>
      </c>
      <c r="X55" s="19" t="e">
        <f>IF(W54&lt;$C$23,0,W55)</f>
        <v>#REF!</v>
      </c>
      <c r="Y55" s="21">
        <v>0</v>
      </c>
      <c r="Z55" s="21" t="e">
        <f>IF(AND($F55&lt;=AB$2,Z54&gt;0),Z54*$F55,0)</f>
        <v>#REF!</v>
      </c>
      <c r="AA55" s="19" t="e">
        <f>IF(Z54&lt;$C$23,0,Z55)</f>
        <v>#REF!</v>
      </c>
      <c r="AB55" s="21">
        <v>0</v>
      </c>
      <c r="AC55" s="21" t="e">
        <f>IF(AND($F55&lt;=AE$2,AC54&gt;0),AC54*$F55,0)</f>
        <v>#REF!</v>
      </c>
      <c r="AD55" s="19" t="e">
        <f>IF(AC54&lt;$C$23,0,AC55)</f>
        <v>#REF!</v>
      </c>
      <c r="AE55" s="21">
        <v>0</v>
      </c>
      <c r="AF55" s="21" t="e">
        <f>IF(AND($F55&lt;=AH$2,AF54&gt;0),AF54*$F55,0)</f>
        <v>#REF!</v>
      </c>
      <c r="AG55" s="19" t="e">
        <f>IF(AF54&lt;$C$23,0,AF55)</f>
        <v>#REF!</v>
      </c>
      <c r="AH55" s="21">
        <v>0</v>
      </c>
      <c r="AI55" s="21" t="e">
        <f>IF(AND($F55&lt;=AK$2,AI54&gt;0),AI54*$F55,0)</f>
        <v>#REF!</v>
      </c>
      <c r="AJ55" s="19" t="e">
        <f>IF(AI54&lt;$C$23,0,AI55)</f>
        <v>#REF!</v>
      </c>
      <c r="AK55" s="21">
        <v>0</v>
      </c>
      <c r="AL55" s="21" t="e">
        <f>IF(AND($F55&lt;=AN$2,AL54&gt;0),AL54*$F55,0)</f>
        <v>#REF!</v>
      </c>
      <c r="AM55" s="19" t="e">
        <f>IF(AL54&lt;$C$23,0,AL55)</f>
        <v>#REF!</v>
      </c>
      <c r="AN55" s="21">
        <v>0</v>
      </c>
      <c r="AO55" s="21" t="e">
        <f>IF(AND($F55&lt;=AQ$2,AO54&gt;0),AO54*$F55,0)</f>
        <v>#REF!</v>
      </c>
      <c r="AP55" s="19" t="e">
        <f>IF(AO54&lt;$C$23,0,AO55)</f>
        <v>#REF!</v>
      </c>
      <c r="AQ55" s="21">
        <v>0</v>
      </c>
      <c r="AR55" s="21" t="e">
        <f>IF(AND($F55&lt;=AT$2,AR54&gt;0),AR54*$F55,0)</f>
        <v>#REF!</v>
      </c>
      <c r="AS55" s="19" t="e">
        <f>IF(AR54&lt;$C$23,0,AR55)</f>
        <v>#REF!</v>
      </c>
      <c r="AT55" s="21">
        <v>0</v>
      </c>
      <c r="AU55" s="21" t="e">
        <f>IF(AND($F55&lt;=AW$2,AU54&gt;0),AU54*$F55,0)</f>
        <v>#REF!</v>
      </c>
      <c r="AV55" s="19" t="e">
        <f>IF(AU54&lt;$C$23,0,AU55)</f>
        <v>#REF!</v>
      </c>
      <c r="AW55" s="21">
        <v>0</v>
      </c>
      <c r="AX55" s="21" t="e">
        <f>IF(AND($F55&lt;=AZ$2,AX54&gt;0),AX54*$F55,0)</f>
        <v>#REF!</v>
      </c>
      <c r="AY55" s="19" t="e">
        <f>IF(AX54&lt;$C$23,0,AX55)</f>
        <v>#REF!</v>
      </c>
      <c r="AZ55" s="21">
        <v>0</v>
      </c>
      <c r="BA55" s="22" t="e">
        <f t="shared" si="1"/>
        <v>#REF!</v>
      </c>
      <c r="BC55" t="s">
        <v>223</v>
      </c>
      <c r="BD55" s="12">
        <v>600</v>
      </c>
      <c r="BE55" s="12">
        <v>52.55</v>
      </c>
      <c r="BF55" s="12">
        <v>44.54</v>
      </c>
      <c r="BG55" s="12">
        <v>-0.24</v>
      </c>
      <c r="BH55" s="12">
        <v>13.48</v>
      </c>
      <c r="BI55" s="12">
        <v>14.25</v>
      </c>
      <c r="BJ55" s="12"/>
      <c r="BK55" s="12"/>
      <c r="BM55" t="s">
        <v>224</v>
      </c>
      <c r="BN55">
        <v>6</v>
      </c>
      <c r="BO55">
        <v>12000</v>
      </c>
      <c r="BP55">
        <v>550</v>
      </c>
      <c r="BQ55">
        <v>360</v>
      </c>
      <c r="BR55" s="13">
        <v>27</v>
      </c>
      <c r="BS55">
        <v>27</v>
      </c>
      <c r="CF55" s="14"/>
      <c r="CG55">
        <v>18</v>
      </c>
      <c r="CH55">
        <v>18</v>
      </c>
      <c r="CU55" s="14"/>
      <c r="CV55">
        <v>1</v>
      </c>
      <c r="CW55">
        <v>1</v>
      </c>
      <c r="DK55" s="15">
        <v>182198</v>
      </c>
      <c r="DL55" s="15" t="s">
        <v>516</v>
      </c>
    </row>
    <row r="56" spans="2:116" ht="15.75" customHeight="1">
      <c r="B56" s="21" t="e">
        <f>IF(OR($C$55&gt;$C$54,B14="Solis-75K-LV-5G-PRO",B14="Livoltek Off Grid GF1-5K48S1",B14="Livoltek Off Grid GF1-3k48L1",B14="Sungrow SG333HX 100%",B14="Sungrow SG350HX 100%"),"Bom","Ruim")</f>
        <v>#REF!</v>
      </c>
      <c r="F56" s="26">
        <v>3</v>
      </c>
      <c r="G56" s="27">
        <f t="shared" si="29"/>
        <v>0</v>
      </c>
      <c r="H56" s="21">
        <f>IF(AND($F56&lt;=J$2,H54&gt;0),H54*$F56,0)</f>
        <v>6</v>
      </c>
      <c r="I56" s="19">
        <f>IF(H54&lt;$C$23,0,H56)</f>
        <v>6</v>
      </c>
      <c r="J56" s="20">
        <v>0</v>
      </c>
      <c r="K56" s="21" t="e">
        <f>IF(AND($F56&lt;=M$2,K54&gt;0),K54*$F56,0)</f>
        <v>#REF!</v>
      </c>
      <c r="L56" s="19" t="e">
        <f>IF(K54&lt;$C$23,0,K56)</f>
        <v>#REF!</v>
      </c>
      <c r="M56" s="21">
        <v>0</v>
      </c>
      <c r="N56" s="21" t="e">
        <f>IF(AND($F56&lt;=P$2,N54&gt;0),N54*$F56,0)</f>
        <v>#REF!</v>
      </c>
      <c r="O56" s="19" t="e">
        <f>IF(N54&lt;$C$23,0,N56)</f>
        <v>#REF!</v>
      </c>
      <c r="P56" s="21">
        <v>0</v>
      </c>
      <c r="Q56" s="21" t="e">
        <f>IF(AND($F56&lt;=S$2,Q54&gt;0),Q54*$F56,0)</f>
        <v>#REF!</v>
      </c>
      <c r="R56" s="19" t="e">
        <f>IF(Q54&lt;$C$23,0,Q56)</f>
        <v>#REF!</v>
      </c>
      <c r="S56" s="21">
        <v>0</v>
      </c>
      <c r="T56" s="21" t="e">
        <f>IF(AND($F56&lt;=V$2,T54&gt;0),T54*$F56,0)</f>
        <v>#REF!</v>
      </c>
      <c r="U56" s="19" t="e">
        <f>IF(T54&lt;$C$23,0,T56)</f>
        <v>#REF!</v>
      </c>
      <c r="V56" s="21">
        <v>0</v>
      </c>
      <c r="W56" s="21" t="e">
        <f>IF(AND($F56&lt;=Y$2,W54&gt;0),W54*$F56,0)</f>
        <v>#REF!</v>
      </c>
      <c r="X56" s="19" t="e">
        <f>IF(W54&lt;$C$23,0,W56)</f>
        <v>#REF!</v>
      </c>
      <c r="Y56" s="21">
        <v>0</v>
      </c>
      <c r="Z56" s="21" t="e">
        <f>IF(AND($F56&lt;=AB$2,Z54&gt;0),Z54*$F56,0)</f>
        <v>#REF!</v>
      </c>
      <c r="AA56" s="19" t="e">
        <f>IF(Z54&lt;$C$23,0,Z56)</f>
        <v>#REF!</v>
      </c>
      <c r="AB56" s="21">
        <v>0</v>
      </c>
      <c r="AC56" s="21" t="e">
        <f>IF(AND($F56&lt;=AE$2,AC54&gt;0),AC54*$F56,0)</f>
        <v>#REF!</v>
      </c>
      <c r="AD56" s="19" t="e">
        <f>IF(AC54&lt;$C$23,0,AC56)</f>
        <v>#REF!</v>
      </c>
      <c r="AE56" s="21">
        <v>0</v>
      </c>
      <c r="AF56" s="21" t="e">
        <f>IF(AND($F56&lt;=AH$2,AF54&gt;0),AF54*$F56,0)</f>
        <v>#REF!</v>
      </c>
      <c r="AG56" s="19" t="e">
        <f>IF(AF54&lt;$C$23,0,AF56)</f>
        <v>#REF!</v>
      </c>
      <c r="AH56" s="21">
        <v>0</v>
      </c>
      <c r="AI56" s="21" t="e">
        <f>IF(AND($F56&lt;=AK$2,AI54&gt;0),AI54*$F56,0)</f>
        <v>#REF!</v>
      </c>
      <c r="AJ56" s="19" t="e">
        <f>IF(AI54&lt;$C$23,0,AI56)</f>
        <v>#REF!</v>
      </c>
      <c r="AK56" s="21">
        <v>0</v>
      </c>
      <c r="AL56" s="21" t="e">
        <f>IF(AND($F56&lt;=AN$2,AL54&gt;0),AL54*$F56,0)</f>
        <v>#REF!</v>
      </c>
      <c r="AM56" s="19" t="e">
        <f>IF(AL54&lt;$C$23,0,AL56)</f>
        <v>#REF!</v>
      </c>
      <c r="AN56" s="21">
        <v>0</v>
      </c>
      <c r="AO56" s="21" t="e">
        <f>IF(AND($F56&lt;=AQ$2,AO54&gt;0),AO54*$F56,0)</f>
        <v>#REF!</v>
      </c>
      <c r="AP56" s="19" t="e">
        <f>IF(AO54&lt;$C$23,0,AO56)</f>
        <v>#REF!</v>
      </c>
      <c r="AQ56" s="21">
        <v>0</v>
      </c>
      <c r="AR56" s="21" t="e">
        <f>IF(AND($F56&lt;=AT$2,AR54&gt;0),AR54*$F56,0)</f>
        <v>#REF!</v>
      </c>
      <c r="AS56" s="19" t="e">
        <f>IF(AR54&lt;$C$23,0,AR56)</f>
        <v>#REF!</v>
      </c>
      <c r="AT56" s="21">
        <v>0</v>
      </c>
      <c r="AU56" s="21" t="e">
        <f>IF(AND($F56&lt;=AW$2,AU54&gt;0),AU54*$F56,0)</f>
        <v>#REF!</v>
      </c>
      <c r="AV56" s="19" t="e">
        <f>IF(AU54&lt;$C$23,0,AU56)</f>
        <v>#REF!</v>
      </c>
      <c r="AW56" s="21">
        <v>0</v>
      </c>
      <c r="AX56" s="21" t="e">
        <f>IF(AND($F56&lt;=AZ$2,AX54&gt;0),AX54*$F56,0)</f>
        <v>#REF!</v>
      </c>
      <c r="AY56" s="19" t="e">
        <f>IF(AX54&lt;$C$23,0,AX56)</f>
        <v>#REF!</v>
      </c>
      <c r="AZ56" s="21">
        <v>0</v>
      </c>
      <c r="BA56" s="22" t="e">
        <f t="shared" si="1"/>
        <v>#REF!</v>
      </c>
      <c r="BC56" t="s">
        <v>225</v>
      </c>
      <c r="BD56">
        <v>610</v>
      </c>
      <c r="BE56">
        <v>48.5</v>
      </c>
      <c r="BF56">
        <v>40.5</v>
      </c>
      <c r="BG56">
        <v>-0.24</v>
      </c>
      <c r="BH56">
        <v>15.07</v>
      </c>
      <c r="BI56">
        <v>15.88</v>
      </c>
      <c r="BM56" t="s">
        <v>226</v>
      </c>
      <c r="BN56">
        <v>7.5</v>
      </c>
      <c r="BO56">
        <v>11520</v>
      </c>
      <c r="BP56">
        <v>550</v>
      </c>
      <c r="BQ56">
        <v>150</v>
      </c>
      <c r="BR56" s="13">
        <v>40</v>
      </c>
      <c r="BS56">
        <v>40</v>
      </c>
      <c r="CF56" s="14"/>
      <c r="CG56">
        <v>32</v>
      </c>
      <c r="CH56">
        <v>32</v>
      </c>
      <c r="CU56" s="14"/>
      <c r="CV56">
        <v>2</v>
      </c>
      <c r="CW56">
        <v>2</v>
      </c>
      <c r="DK56" s="41"/>
      <c r="DL56" s="41"/>
    </row>
    <row r="57" spans="2:116" ht="15.75" customHeight="1">
      <c r="F57" s="26">
        <v>4</v>
      </c>
      <c r="G57" s="27">
        <f t="shared" si="29"/>
        <v>0</v>
      </c>
      <c r="H57" s="21">
        <f>IF(AND($F57&lt;=J$2,H54&gt;0),H54*$F57,0)</f>
        <v>8</v>
      </c>
      <c r="I57" s="19">
        <f>IF(H54&lt;$C$23,0,H57)</f>
        <v>8</v>
      </c>
      <c r="J57" s="20">
        <v>0</v>
      </c>
      <c r="K57" s="21" t="e">
        <f>IF(AND($F57&lt;=M$2,K54&gt;0),K54*$F57,0)</f>
        <v>#REF!</v>
      </c>
      <c r="L57" s="19" t="e">
        <f>IF(K54&lt;$C$23,0,K57)</f>
        <v>#REF!</v>
      </c>
      <c r="M57" s="21">
        <v>0</v>
      </c>
      <c r="N57" s="21" t="e">
        <f>IF(AND($F57&lt;=P$2,N54&gt;0),N54*$F57,0)</f>
        <v>#REF!</v>
      </c>
      <c r="O57" s="19" t="e">
        <f>IF(N54&lt;$C$23,0,N57)</f>
        <v>#REF!</v>
      </c>
      <c r="P57" s="21">
        <v>0</v>
      </c>
      <c r="Q57" s="21" t="e">
        <f>IF(AND($F57&lt;=S$2,Q54&gt;0),Q54*$F57,0)</f>
        <v>#REF!</v>
      </c>
      <c r="R57" s="19" t="e">
        <f>IF(Q54&lt;$C$23,0,Q57)</f>
        <v>#REF!</v>
      </c>
      <c r="S57" s="21">
        <v>0</v>
      </c>
      <c r="T57" s="21" t="e">
        <f>IF(AND($F57&lt;=V$2,T54&gt;0),T54*$F57,0)</f>
        <v>#REF!</v>
      </c>
      <c r="U57" s="19" t="e">
        <f>IF(T54&lt;$C$23,0,T57)</f>
        <v>#REF!</v>
      </c>
      <c r="V57" s="21">
        <v>0</v>
      </c>
      <c r="W57" s="21" t="e">
        <f>IF(AND($F57&lt;=Y$2,W54&gt;0),W54*$F57,0)</f>
        <v>#REF!</v>
      </c>
      <c r="X57" s="19" t="e">
        <f>IF(W54&lt;$C$23,0,W57)</f>
        <v>#REF!</v>
      </c>
      <c r="Y57" s="21">
        <v>0</v>
      </c>
      <c r="Z57" s="21" t="e">
        <f>IF(AND($F57&lt;=AB$2,Z54&gt;0),Z54*$F57,0)</f>
        <v>#REF!</v>
      </c>
      <c r="AA57" s="19" t="e">
        <f>IF(Z54&lt;$C$23,0,Z57)</f>
        <v>#REF!</v>
      </c>
      <c r="AB57" s="21">
        <v>0</v>
      </c>
      <c r="AC57" s="21" t="e">
        <f>IF(AND($F57&lt;=AE$2,AC54&gt;0),AC54*$F57,0)</f>
        <v>#REF!</v>
      </c>
      <c r="AD57" s="19" t="e">
        <f>IF(AC54&lt;$C$23,0,AC57)</f>
        <v>#REF!</v>
      </c>
      <c r="AE57" s="21">
        <v>0</v>
      </c>
      <c r="AF57" s="21" t="e">
        <f>IF(AND($F57&lt;=AH$2,AF54&gt;0),AF54*$F57,0)</f>
        <v>#REF!</v>
      </c>
      <c r="AG57" s="19" t="e">
        <f>IF(AF54&lt;$C$23,0,AF57)</f>
        <v>#REF!</v>
      </c>
      <c r="AH57" s="21">
        <v>0</v>
      </c>
      <c r="AI57" s="21" t="e">
        <f>IF(AND($F57&lt;=AK$2,AI54&gt;0),AI54*$F57,0)</f>
        <v>#REF!</v>
      </c>
      <c r="AJ57" s="19" t="e">
        <f>IF(AI54&lt;$C$23,0,AI57)</f>
        <v>#REF!</v>
      </c>
      <c r="AK57" s="21">
        <v>0</v>
      </c>
      <c r="AL57" s="21" t="e">
        <f>IF(AND($F57&lt;=AN$2,AL54&gt;0),AL54*$F57,0)</f>
        <v>#REF!</v>
      </c>
      <c r="AM57" s="19" t="e">
        <f>IF(AL54&lt;$C$23,0,AL57)</f>
        <v>#REF!</v>
      </c>
      <c r="AN57" s="21">
        <v>0</v>
      </c>
      <c r="AO57" s="21" t="e">
        <f>IF(AND($F57&lt;=AQ$2,AO54&gt;0),AO54*$F57,0)</f>
        <v>#REF!</v>
      </c>
      <c r="AP57" s="19" t="e">
        <f>IF(AO54&lt;$C$23,0,AO57)</f>
        <v>#REF!</v>
      </c>
      <c r="AQ57" s="21">
        <v>0</v>
      </c>
      <c r="AR57" s="21" t="e">
        <f>IF(AND($F57&lt;=AT$2,AR54&gt;0),AR54*$F57,0)</f>
        <v>#REF!</v>
      </c>
      <c r="AS57" s="19" t="e">
        <f>IF(AR54&lt;$C$23,0,AR57)</f>
        <v>#REF!</v>
      </c>
      <c r="AT57" s="21">
        <v>0</v>
      </c>
      <c r="AU57" s="21" t="e">
        <f>IF(AND($F57&lt;=AW$2,AU54&gt;0),AU54*$F57,0)</f>
        <v>#REF!</v>
      </c>
      <c r="AV57" s="19" t="e">
        <f>IF(AU54&lt;$C$23,0,AU57)</f>
        <v>#REF!</v>
      </c>
      <c r="AW57" s="21">
        <v>0</v>
      </c>
      <c r="AX57" s="21" t="e">
        <f>IF(AND($F57&lt;=AZ$2,AX54&gt;0),AX54*$F57,0)</f>
        <v>#REF!</v>
      </c>
      <c r="AY57" s="19" t="e">
        <f>IF(AX54&lt;$C$23,0,AX57)</f>
        <v>#REF!</v>
      </c>
      <c r="AZ57" s="21">
        <v>0</v>
      </c>
      <c r="BA57" s="22" t="e">
        <f t="shared" si="1"/>
        <v>#REF!</v>
      </c>
      <c r="BC57" t="s">
        <v>227</v>
      </c>
      <c r="BD57">
        <v>615</v>
      </c>
      <c r="BE57">
        <v>48.7</v>
      </c>
      <c r="BF57">
        <v>40.700000000000003</v>
      </c>
      <c r="BG57">
        <v>-0.24</v>
      </c>
      <c r="BH57">
        <v>15.12</v>
      </c>
      <c r="BI57">
        <v>15.92</v>
      </c>
      <c r="BM57" t="s">
        <v>228</v>
      </c>
      <c r="BN57">
        <v>100</v>
      </c>
      <c r="BO57">
        <f>2*$BN57*1000</f>
        <v>200000</v>
      </c>
      <c r="BP57">
        <v>1100</v>
      </c>
      <c r="BQ57">
        <v>540</v>
      </c>
      <c r="BR57" s="23">
        <v>40</v>
      </c>
      <c r="BS57">
        <v>40</v>
      </c>
      <c r="BT57">
        <v>40</v>
      </c>
      <c r="BU57">
        <v>40</v>
      </c>
      <c r="BV57">
        <v>40</v>
      </c>
      <c r="BW57">
        <v>40</v>
      </c>
      <c r="BX57">
        <v>40</v>
      </c>
      <c r="BY57">
        <v>40</v>
      </c>
      <c r="BZ57">
        <v>40</v>
      </c>
      <c r="CA57">
        <v>40</v>
      </c>
      <c r="CF57" s="24"/>
      <c r="CG57">
        <v>30</v>
      </c>
      <c r="CH57">
        <v>30</v>
      </c>
      <c r="CI57">
        <v>30</v>
      </c>
      <c r="CJ57">
        <v>30</v>
      </c>
      <c r="CK57">
        <v>30</v>
      </c>
      <c r="CL57">
        <v>30</v>
      </c>
      <c r="CM57">
        <v>30</v>
      </c>
      <c r="CN57">
        <v>30</v>
      </c>
      <c r="CO57">
        <v>30</v>
      </c>
      <c r="CP57">
        <v>30</v>
      </c>
      <c r="CU57" s="24"/>
      <c r="CV57">
        <v>2</v>
      </c>
      <c r="CW57">
        <v>2</v>
      </c>
      <c r="CX57">
        <v>2</v>
      </c>
      <c r="CY57">
        <v>2</v>
      </c>
      <c r="CZ57">
        <v>2</v>
      </c>
      <c r="DA57">
        <v>2</v>
      </c>
      <c r="DB57">
        <v>2</v>
      </c>
      <c r="DC57">
        <v>2</v>
      </c>
      <c r="DD57">
        <v>2</v>
      </c>
      <c r="DE57">
        <v>2</v>
      </c>
      <c r="DK57" s="31">
        <v>107282</v>
      </c>
      <c r="DL57" s="31" t="s">
        <v>516</v>
      </c>
    </row>
    <row r="58" spans="2:116" ht="15.75" customHeight="1">
      <c r="B58" t="s">
        <v>219</v>
      </c>
      <c r="C58" s="43">
        <f>(80/100)*VLOOKUP($B$2,BC3:BI309,6,0)</f>
        <v>9.4</v>
      </c>
      <c r="F58" s="26">
        <v>5</v>
      </c>
      <c r="G58" s="27">
        <f t="shared" si="29"/>
        <v>0</v>
      </c>
      <c r="H58" s="21">
        <f>IF(AND($F58&lt;=J$2,H54&gt;0),H54*$F58,0)</f>
        <v>10</v>
      </c>
      <c r="I58" s="19">
        <f>IF(H54&lt;$C$23,0,H58)</f>
        <v>10</v>
      </c>
      <c r="J58" s="20">
        <v>0</v>
      </c>
      <c r="K58" s="21" t="e">
        <f>IF(AND($F58&lt;=M$2,K54&gt;0),K54*$F58,0)</f>
        <v>#REF!</v>
      </c>
      <c r="L58" s="19" t="e">
        <f>IF(K54&lt;$C$23,0,K58)</f>
        <v>#REF!</v>
      </c>
      <c r="M58" s="21">
        <v>0</v>
      </c>
      <c r="N58" s="21" t="e">
        <f>IF(AND($F58&lt;=P$2,N54&gt;0),N54*$F58,0)</f>
        <v>#REF!</v>
      </c>
      <c r="O58" s="19" t="e">
        <f>IF(N54&lt;$C$23,0,N58)</f>
        <v>#REF!</v>
      </c>
      <c r="P58" s="21">
        <v>0</v>
      </c>
      <c r="Q58" s="21" t="e">
        <f>IF(AND($F58&lt;=S$2,Q54&gt;0),Q54*$F58,0)</f>
        <v>#REF!</v>
      </c>
      <c r="R58" s="19" t="e">
        <f>IF(Q54&lt;$C$23,0,Q58)</f>
        <v>#REF!</v>
      </c>
      <c r="S58" s="21">
        <v>0</v>
      </c>
      <c r="T58" s="21" t="e">
        <f>IF(AND($F58&lt;=V$2,T54&gt;0),T54*$F58,0)</f>
        <v>#REF!</v>
      </c>
      <c r="U58" s="19" t="e">
        <f>IF(T54&lt;$C$23,0,T58)</f>
        <v>#REF!</v>
      </c>
      <c r="V58" s="21">
        <v>0</v>
      </c>
      <c r="W58" s="21" t="e">
        <f>IF(AND($F58&lt;=Y$2,W54&gt;0),W54*$F58,0)</f>
        <v>#REF!</v>
      </c>
      <c r="X58" s="19" t="e">
        <f>IF(W54&lt;$C$23,0,W58)</f>
        <v>#REF!</v>
      </c>
      <c r="Y58" s="21">
        <v>0</v>
      </c>
      <c r="Z58" s="21" t="e">
        <f>IF(AND($F58&lt;=AB$2,Z54&gt;0),Z54*$F58,0)</f>
        <v>#REF!</v>
      </c>
      <c r="AA58" s="19" t="e">
        <f>IF(Z54&lt;$C$23,0,Z58)</f>
        <v>#REF!</v>
      </c>
      <c r="AB58" s="21">
        <v>0</v>
      </c>
      <c r="AC58" s="21" t="e">
        <f>IF(AND($F58&lt;=AE$2,AC54&gt;0),AC54*$F58,0)</f>
        <v>#REF!</v>
      </c>
      <c r="AD58" s="19" t="e">
        <f>IF(AC54&lt;$C$23,0,AC58)</f>
        <v>#REF!</v>
      </c>
      <c r="AE58" s="21">
        <v>0</v>
      </c>
      <c r="AF58" s="21" t="e">
        <f>IF(AND($F58&lt;=AH$2,AF54&gt;0),AF54*$F58,0)</f>
        <v>#REF!</v>
      </c>
      <c r="AG58" s="19" t="e">
        <f>IF(AF54&lt;$C$23,0,AF58)</f>
        <v>#REF!</v>
      </c>
      <c r="AH58" s="21">
        <v>0</v>
      </c>
      <c r="AI58" s="21" t="e">
        <f>IF(AND($F58&lt;=AK$2,AI54&gt;0),AI54*$F58,0)</f>
        <v>#REF!</v>
      </c>
      <c r="AJ58" s="19" t="e">
        <f>IF(AI54&lt;$C$23,0,AI58)</f>
        <v>#REF!</v>
      </c>
      <c r="AK58" s="21">
        <v>0</v>
      </c>
      <c r="AL58" s="21" t="e">
        <f>IF(AND($F58&lt;=AN$2,AL54&gt;0),AL54*$F58,0)</f>
        <v>#REF!</v>
      </c>
      <c r="AM58" s="19" t="e">
        <f>IF(AL54&lt;$C$23,0,AL58)</f>
        <v>#REF!</v>
      </c>
      <c r="AN58" s="21">
        <v>0</v>
      </c>
      <c r="AO58" s="21" t="e">
        <f>IF(AND($F58&lt;=AQ$2,AO54&gt;0),AO54*$F58,0)</f>
        <v>#REF!</v>
      </c>
      <c r="AP58" s="19" t="e">
        <f>IF(AO54&lt;$C$23,0,AO58)</f>
        <v>#REF!</v>
      </c>
      <c r="AQ58" s="21">
        <v>0</v>
      </c>
      <c r="AR58" s="21" t="e">
        <f>IF(AND($F58&lt;=AT$2,AR54&gt;0),AR54*$F58,0)</f>
        <v>#REF!</v>
      </c>
      <c r="AS58" s="19" t="e">
        <f>IF(AR54&lt;$C$23,0,AR58)</f>
        <v>#REF!</v>
      </c>
      <c r="AT58" s="21">
        <v>0</v>
      </c>
      <c r="AU58" s="21" t="e">
        <f>IF(AND($F58&lt;=AW$2,AU54&gt;0),AU54*$F58,0)</f>
        <v>#REF!</v>
      </c>
      <c r="AV58" s="19" t="e">
        <f>IF(AU54&lt;$C$23,0,AU58)</f>
        <v>#REF!</v>
      </c>
      <c r="AW58" s="21">
        <v>0</v>
      </c>
      <c r="AX58" s="21" t="e">
        <f>IF(AND($F58&lt;=AZ$2,AX54&gt;0),AX54*$F58,0)</f>
        <v>#REF!</v>
      </c>
      <c r="AY58" s="19" t="e">
        <f>IF(AX54&lt;$C$23,0,AX58)</f>
        <v>#REF!</v>
      </c>
      <c r="AZ58" s="21">
        <v>0</v>
      </c>
      <c r="BA58" s="22" t="e">
        <f t="shared" si="1"/>
        <v>#REF!</v>
      </c>
      <c r="BC58" t="s">
        <v>229</v>
      </c>
      <c r="BD58" s="12">
        <v>700</v>
      </c>
      <c r="BE58" s="12">
        <v>50</v>
      </c>
      <c r="BF58" s="12">
        <v>42.1</v>
      </c>
      <c r="BG58" s="12">
        <v>-0.24</v>
      </c>
      <c r="BH58" s="12">
        <v>16.63</v>
      </c>
      <c r="BI58" s="12">
        <v>17.37</v>
      </c>
      <c r="BJ58" s="12"/>
      <c r="BK58" s="12"/>
      <c r="BM58" t="s">
        <v>230</v>
      </c>
      <c r="BN58">
        <v>100</v>
      </c>
      <c r="BO58">
        <f>$BN58*1000*1.5</f>
        <v>150000</v>
      </c>
      <c r="BP58">
        <v>1100</v>
      </c>
      <c r="BQ58">
        <v>540</v>
      </c>
      <c r="BR58" s="23">
        <v>40</v>
      </c>
      <c r="BS58">
        <v>40</v>
      </c>
      <c r="BT58">
        <v>40</v>
      </c>
      <c r="BU58">
        <v>40</v>
      </c>
      <c r="BV58">
        <v>40</v>
      </c>
      <c r="BW58">
        <v>40</v>
      </c>
      <c r="BX58">
        <v>40</v>
      </c>
      <c r="BY58">
        <v>40</v>
      </c>
      <c r="BZ58">
        <v>40</v>
      </c>
      <c r="CA58">
        <v>40</v>
      </c>
      <c r="CF58" s="24"/>
      <c r="CG58">
        <v>30</v>
      </c>
      <c r="CH58">
        <v>30</v>
      </c>
      <c r="CI58">
        <v>30</v>
      </c>
      <c r="CJ58">
        <v>30</v>
      </c>
      <c r="CK58">
        <v>30</v>
      </c>
      <c r="CL58">
        <v>30</v>
      </c>
      <c r="CM58">
        <v>30</v>
      </c>
      <c r="CN58">
        <v>30</v>
      </c>
      <c r="CO58">
        <v>30</v>
      </c>
      <c r="CP58">
        <v>30</v>
      </c>
      <c r="CU58" s="24"/>
      <c r="CV58">
        <v>2</v>
      </c>
      <c r="CW58">
        <v>2</v>
      </c>
      <c r="CX58">
        <v>2</v>
      </c>
      <c r="CY58">
        <v>2</v>
      </c>
      <c r="CZ58">
        <v>2</v>
      </c>
      <c r="DA58">
        <v>2</v>
      </c>
      <c r="DB58">
        <v>2</v>
      </c>
      <c r="DC58">
        <v>2</v>
      </c>
      <c r="DD58">
        <v>2</v>
      </c>
      <c r="DE58">
        <v>2</v>
      </c>
      <c r="DK58" s="25"/>
      <c r="DL58" s="25"/>
    </row>
    <row r="59" spans="2:116" ht="15.75" customHeight="1">
      <c r="B59" s="44" t="s">
        <v>231</v>
      </c>
      <c r="C59" s="21" t="e">
        <f t="array" ref="C59">MIN(IF($C$120:$C$134=0," ",$C$120:$C$134))</f>
        <v>#VALUE!</v>
      </c>
      <c r="F59" s="26">
        <v>1</v>
      </c>
      <c r="G59" s="27">
        <f t="shared" ref="G59:G63" si="30">IF(OR(J59&lt;&gt;0,M59&lt;&gt;0,P59&lt;&gt;0,S59&lt;&gt;0,V59&lt;&gt;0,Y59&lt;&gt;0,AB59&lt;&gt;0,AE59&lt;&gt;0,AH59&lt;&gt;0,AK59&lt;&gt;0,AN59&lt;&gt;0,AQ59&lt;&gt;0,AT59&lt;&gt;0,AW59&lt;&gt;0,AZ59&lt;&gt;0),$C$26-11,0)</f>
        <v>0</v>
      </c>
      <c r="H59" s="21">
        <f>IF(AND($F59&lt;=J$2,H54&gt;0),H54-1,0)</f>
        <v>1</v>
      </c>
      <c r="I59" s="19">
        <f>IF(H59&lt;$C$23,0,H59)</f>
        <v>0</v>
      </c>
      <c r="J59" s="20">
        <v>0</v>
      </c>
      <c r="K59" s="21" t="e">
        <f>IF(AND($F59&lt;=M$2,K54&gt;0),K54-1,0)</f>
        <v>#REF!</v>
      </c>
      <c r="L59" s="19" t="e">
        <f>IF(K59&lt;$C$23,0,K59)</f>
        <v>#REF!</v>
      </c>
      <c r="M59" s="21">
        <v>0</v>
      </c>
      <c r="N59" s="21" t="e">
        <f>IF(AND($F59&lt;=P$2,N54&gt;0),N54-1,0)</f>
        <v>#REF!</v>
      </c>
      <c r="O59" s="19" t="e">
        <f>IF(N59&lt;$C$23,0,N59)</f>
        <v>#REF!</v>
      </c>
      <c r="P59" s="21">
        <v>0</v>
      </c>
      <c r="Q59" s="21" t="e">
        <f>IF(AND($F59&lt;=S$2,Q54&gt;0),Q54-1,0)</f>
        <v>#REF!</v>
      </c>
      <c r="R59" s="19" t="e">
        <f>IF(Q59&lt;$C$23,0,Q59)</f>
        <v>#REF!</v>
      </c>
      <c r="S59" s="21">
        <v>0</v>
      </c>
      <c r="T59" s="21" t="e">
        <f>IF(AND($F59&lt;=V$2,T54&gt;0),T54-1,0)</f>
        <v>#REF!</v>
      </c>
      <c r="U59" s="19" t="e">
        <f>IF(T59&lt;$C$23,0,T59)</f>
        <v>#REF!</v>
      </c>
      <c r="V59" s="21">
        <v>0</v>
      </c>
      <c r="W59" s="21" t="e">
        <f>IF(AND($F59&lt;=Y$2,W54&gt;0),W54-1,0)</f>
        <v>#REF!</v>
      </c>
      <c r="X59" s="19" t="e">
        <f>IF(W59&lt;$C$23,0,W59)</f>
        <v>#REF!</v>
      </c>
      <c r="Y59" s="21">
        <v>0</v>
      </c>
      <c r="Z59" s="21" t="e">
        <f>IF(AND($F59&lt;=AB$2,Z54&gt;0),Z54-1,0)</f>
        <v>#REF!</v>
      </c>
      <c r="AA59" s="19" t="e">
        <f>IF(Z59&lt;$C$23,0,Z59)</f>
        <v>#REF!</v>
      </c>
      <c r="AB59" s="21">
        <v>0</v>
      </c>
      <c r="AC59" s="21" t="e">
        <f>IF(AND($F59&lt;=AE$2,AC54&gt;0),AC54-1,0)</f>
        <v>#REF!</v>
      </c>
      <c r="AD59" s="19" t="e">
        <f>IF(AC59&lt;$C$23,0,AC59)</f>
        <v>#REF!</v>
      </c>
      <c r="AE59" s="21">
        <v>0</v>
      </c>
      <c r="AF59" s="21" t="e">
        <f>IF(AND($F59&lt;=AH$2,AF54&gt;0),AF54-1,0)</f>
        <v>#REF!</v>
      </c>
      <c r="AG59" s="19" t="e">
        <f>IF(AF59&lt;$C$23,0,AF59)</f>
        <v>#REF!</v>
      </c>
      <c r="AH59" s="21">
        <v>0</v>
      </c>
      <c r="AI59" s="21" t="e">
        <f>IF(AND($F59&lt;=AK$2,AI54&gt;0),AI54-1,0)</f>
        <v>#REF!</v>
      </c>
      <c r="AJ59" s="19" t="e">
        <f>IF(AI59&lt;$C$23,0,AI59)</f>
        <v>#REF!</v>
      </c>
      <c r="AK59" s="21">
        <v>0</v>
      </c>
      <c r="AL59" s="21" t="e">
        <f>IF(AND($F59&lt;=AN$2,AL54&gt;0),AL54-1,0)</f>
        <v>#REF!</v>
      </c>
      <c r="AM59" s="19" t="e">
        <f>IF(AL59&lt;$C$23,0,AL59)</f>
        <v>#REF!</v>
      </c>
      <c r="AN59" s="21">
        <v>0</v>
      </c>
      <c r="AO59" s="21" t="e">
        <f>IF(AND($F59&lt;=AQ$2,AO54&gt;0),AO54-1,0)</f>
        <v>#REF!</v>
      </c>
      <c r="AP59" s="19" t="e">
        <f>IF(AO59&lt;$C$23,0,AO59)</f>
        <v>#REF!</v>
      </c>
      <c r="AQ59" s="21">
        <v>0</v>
      </c>
      <c r="AR59" s="21" t="e">
        <f>IF(AND($F59&lt;=AT$2,AR54&gt;0),AR54-1,0)</f>
        <v>#REF!</v>
      </c>
      <c r="AS59" s="19" t="e">
        <f>IF(AR59&lt;$C$23,0,AR59)</f>
        <v>#REF!</v>
      </c>
      <c r="AT59" s="21">
        <v>0</v>
      </c>
      <c r="AU59" s="21" t="e">
        <f>IF(AND($F59&lt;=AW$2,AU54&gt;0),AU54-1,0)</f>
        <v>#REF!</v>
      </c>
      <c r="AV59" s="19" t="e">
        <f>IF(AU59&lt;$C$23,0,AU59)</f>
        <v>#REF!</v>
      </c>
      <c r="AW59" s="21">
        <v>0</v>
      </c>
      <c r="AX59" s="21" t="e">
        <f>IF(AND($F59&lt;=AZ$2,AX54&gt;0),AX54-1,0)</f>
        <v>#REF!</v>
      </c>
      <c r="AY59" s="19" t="e">
        <f>IF(AX59&lt;$C$23,0,AX59)</f>
        <v>#REF!</v>
      </c>
      <c r="AZ59" s="21">
        <v>0</v>
      </c>
      <c r="BA59" s="22" t="e">
        <f t="shared" si="1"/>
        <v>#REF!</v>
      </c>
      <c r="BC59" t="s">
        <v>232</v>
      </c>
      <c r="BD59">
        <v>560</v>
      </c>
      <c r="BE59">
        <v>51.1</v>
      </c>
      <c r="BF59">
        <v>42.4</v>
      </c>
      <c r="BG59">
        <v>-0.26200000000000001</v>
      </c>
      <c r="BH59" s="12">
        <v>13.21</v>
      </c>
      <c r="BI59" s="12">
        <v>13.95</v>
      </c>
      <c r="BJ59" s="12"/>
      <c r="BK59" s="12"/>
      <c r="BM59" t="s">
        <v>233</v>
      </c>
      <c r="BN59">
        <v>10</v>
      </c>
      <c r="BO59">
        <f>$BN59*2*1000</f>
        <v>20000</v>
      </c>
      <c r="BP59">
        <v>600</v>
      </c>
      <c r="BQ59">
        <v>285</v>
      </c>
      <c r="BR59" s="23">
        <v>20</v>
      </c>
      <c r="BS59">
        <v>20</v>
      </c>
      <c r="BT59">
        <v>20</v>
      </c>
      <c r="CF59" s="24"/>
      <c r="CG59">
        <v>15</v>
      </c>
      <c r="CH59">
        <v>15</v>
      </c>
      <c r="CI59">
        <v>15</v>
      </c>
      <c r="CU59" s="24"/>
      <c r="CV59">
        <v>1</v>
      </c>
      <c r="CW59">
        <v>1</v>
      </c>
      <c r="CX59">
        <v>1</v>
      </c>
      <c r="DK59" s="15">
        <v>107277</v>
      </c>
      <c r="DL59" s="15" t="s">
        <v>516</v>
      </c>
    </row>
    <row r="60" spans="2:116" ht="15.75" customHeight="1">
      <c r="F60" s="26">
        <v>2</v>
      </c>
      <c r="G60" s="27">
        <f t="shared" si="30"/>
        <v>0</v>
      </c>
      <c r="H60" s="21">
        <f>IF(AND($F60&lt;=J$2,H59&gt;0),H59*$F60,0)</f>
        <v>2</v>
      </c>
      <c r="I60" s="19">
        <f>IF(H59&lt;$C$23,0,H60)</f>
        <v>0</v>
      </c>
      <c r="J60" s="20">
        <v>0</v>
      </c>
      <c r="K60" s="21" t="e">
        <f>IF(AND($F60&lt;=M$2,K59&gt;0),K59*$F60,0)</f>
        <v>#REF!</v>
      </c>
      <c r="L60" s="19" t="e">
        <f>IF(K59&lt;$C$23,0,K60)</f>
        <v>#REF!</v>
      </c>
      <c r="M60" s="21">
        <v>0</v>
      </c>
      <c r="N60" s="21" t="e">
        <f>IF(AND($F60&lt;=P$2,N59&gt;0),N59*$F60,0)</f>
        <v>#REF!</v>
      </c>
      <c r="O60" s="19" t="e">
        <f>IF(N59&lt;$C$23,0,N60)</f>
        <v>#REF!</v>
      </c>
      <c r="P60" s="21">
        <v>0</v>
      </c>
      <c r="Q60" s="21" t="e">
        <f>IF(AND($F60&lt;=S$2,Q59&gt;0),Q59*$F60,0)</f>
        <v>#REF!</v>
      </c>
      <c r="R60" s="19" t="e">
        <f>IF(Q59&lt;$C$23,0,Q60)</f>
        <v>#REF!</v>
      </c>
      <c r="S60" s="21">
        <v>0</v>
      </c>
      <c r="T60" s="21" t="e">
        <f>IF(AND($F60&lt;=V$2,T59&gt;0),T59*$F60,0)</f>
        <v>#REF!</v>
      </c>
      <c r="U60" s="19" t="e">
        <f>IF(T59&lt;$C$23,0,T60)</f>
        <v>#REF!</v>
      </c>
      <c r="V60" s="21">
        <v>0</v>
      </c>
      <c r="W60" s="21" t="e">
        <f>IF(AND($F60&lt;=Y$2,W59&gt;0),W59*$F60,0)</f>
        <v>#REF!</v>
      </c>
      <c r="X60" s="19" t="e">
        <f>IF(W59&lt;$C$23,0,W60)</f>
        <v>#REF!</v>
      </c>
      <c r="Y60" s="21">
        <v>0</v>
      </c>
      <c r="Z60" s="21" t="e">
        <f>IF(AND($F60&lt;=AB$2,Z59&gt;0),Z59*$F60,0)</f>
        <v>#REF!</v>
      </c>
      <c r="AA60" s="19" t="e">
        <f>IF(Z59&lt;$C$23,0,Z60)</f>
        <v>#REF!</v>
      </c>
      <c r="AB60" s="21">
        <v>0</v>
      </c>
      <c r="AC60" s="21" t="e">
        <f>IF(AND($F60&lt;=AE$2,AC59&gt;0),AC59*$F60,0)</f>
        <v>#REF!</v>
      </c>
      <c r="AD60" s="19" t="e">
        <f>IF(AC59&lt;$C$23,0,AC60)</f>
        <v>#REF!</v>
      </c>
      <c r="AE60" s="21">
        <v>0</v>
      </c>
      <c r="AF60" s="21" t="e">
        <f>IF(AND($F60&lt;=AH$2,AF59&gt;0),AF59*$F60,0)</f>
        <v>#REF!</v>
      </c>
      <c r="AG60" s="19" t="e">
        <f>IF(AF59&lt;$C$23,0,AF60)</f>
        <v>#REF!</v>
      </c>
      <c r="AH60" s="21">
        <v>0</v>
      </c>
      <c r="AI60" s="21" t="e">
        <f>IF(AND($F60&lt;=AK$2,AI59&gt;0),AI59*$F60,0)</f>
        <v>#REF!</v>
      </c>
      <c r="AJ60" s="19" t="e">
        <f>IF(AI59&lt;$C$23,0,AI60)</f>
        <v>#REF!</v>
      </c>
      <c r="AK60" s="21">
        <v>0</v>
      </c>
      <c r="AL60" s="21" t="e">
        <f>IF(AND($F60&lt;=AN$2,AL59&gt;0),AL59*$F60,0)</f>
        <v>#REF!</v>
      </c>
      <c r="AM60" s="19" t="e">
        <f>IF(AL59&lt;$C$23,0,AL60)</f>
        <v>#REF!</v>
      </c>
      <c r="AN60" s="21">
        <v>0</v>
      </c>
      <c r="AO60" s="21" t="e">
        <f>IF(AND($F60&lt;=AQ$2,AO59&gt;0),AO59*$F60,0)</f>
        <v>#REF!</v>
      </c>
      <c r="AP60" s="19" t="e">
        <f>IF(AO59&lt;$C$23,0,AO60)</f>
        <v>#REF!</v>
      </c>
      <c r="AQ60" s="21">
        <v>0</v>
      </c>
      <c r="AR60" s="21" t="e">
        <f>IF(AND($F60&lt;=AT$2,AR59&gt;0),AR59*$F60,0)</f>
        <v>#REF!</v>
      </c>
      <c r="AS60" s="19" t="e">
        <f>IF(AR59&lt;$C$23,0,AR60)</f>
        <v>#REF!</v>
      </c>
      <c r="AT60" s="21">
        <v>0</v>
      </c>
      <c r="AU60" s="21" t="e">
        <f>IF(AND($F60&lt;=AW$2,AU59&gt;0),AU59*$F60,0)</f>
        <v>#REF!</v>
      </c>
      <c r="AV60" s="19" t="e">
        <f>IF(AU59&lt;$C$23,0,AU60)</f>
        <v>#REF!</v>
      </c>
      <c r="AW60" s="21">
        <v>0</v>
      </c>
      <c r="AX60" s="21" t="e">
        <f>IF(AND($F60&lt;=AZ$2,AX59&gt;0),AX59*$F60,0)</f>
        <v>#REF!</v>
      </c>
      <c r="AY60" s="19" t="e">
        <f>IF(AX59&lt;$C$23,0,AX60)</f>
        <v>#REF!</v>
      </c>
      <c r="AZ60" s="21">
        <v>0</v>
      </c>
      <c r="BA60" s="22" t="e">
        <f t="shared" si="1"/>
        <v>#REF!</v>
      </c>
      <c r="BC60" t="s">
        <v>234</v>
      </c>
      <c r="BD60">
        <v>310</v>
      </c>
      <c r="BE60">
        <v>45.9</v>
      </c>
      <c r="BF60">
        <v>37</v>
      </c>
      <c r="BG60">
        <v>-0.31</v>
      </c>
      <c r="BH60" s="12"/>
      <c r="BI60" s="12"/>
      <c r="BJ60" s="12"/>
      <c r="BK60" s="12"/>
      <c r="BM60" t="s">
        <v>235</v>
      </c>
      <c r="BN60">
        <v>10</v>
      </c>
      <c r="BO60">
        <f>$BN60*1000*1.5</f>
        <v>15000</v>
      </c>
      <c r="BP60">
        <v>600</v>
      </c>
      <c r="BQ60">
        <v>285</v>
      </c>
      <c r="BR60" s="23">
        <v>20</v>
      </c>
      <c r="BS60">
        <v>20</v>
      </c>
      <c r="BT60">
        <v>20</v>
      </c>
      <c r="CF60" s="24"/>
      <c r="CG60">
        <v>15</v>
      </c>
      <c r="CH60">
        <v>15</v>
      </c>
      <c r="CI60">
        <v>15</v>
      </c>
      <c r="CU60" s="24"/>
      <c r="CV60">
        <v>1</v>
      </c>
      <c r="CW60">
        <v>1</v>
      </c>
      <c r="CX60">
        <v>1</v>
      </c>
      <c r="DK60" s="25"/>
      <c r="DL60" s="25"/>
    </row>
    <row r="61" spans="2:116" ht="15.75" customHeight="1">
      <c r="B61" s="43" t="e">
        <f>IF(OR(AND(B14="Livoltek Off Grid GF1-5K48S1",C3=665),AND(C59&lt;C58,$C$7&gt;18)),"Ruim","Bom")</f>
        <v>#VALUE!</v>
      </c>
      <c r="F61" s="26">
        <v>3</v>
      </c>
      <c r="G61" s="27">
        <f t="shared" si="30"/>
        <v>0</v>
      </c>
      <c r="H61" s="21">
        <f>IF(AND($F61&lt;=J$2,H59&gt;0),H59*$F61,0)</f>
        <v>3</v>
      </c>
      <c r="I61" s="19">
        <f>IF(H59&lt;$C$23,0,H61)</f>
        <v>0</v>
      </c>
      <c r="J61" s="20">
        <v>0</v>
      </c>
      <c r="K61" s="21" t="e">
        <f>IF(AND($F61&lt;=M$2,K59&gt;0),K59*$F61,0)</f>
        <v>#REF!</v>
      </c>
      <c r="L61" s="19" t="e">
        <f>IF(K59&lt;$C$23,0,K61)</f>
        <v>#REF!</v>
      </c>
      <c r="M61" s="21">
        <v>0</v>
      </c>
      <c r="N61" s="21" t="e">
        <f>IF(AND($F61&lt;=P$2,N59&gt;0),N59*$F61,0)</f>
        <v>#REF!</v>
      </c>
      <c r="O61" s="19" t="e">
        <f>IF(N59&lt;$C$23,0,N61)</f>
        <v>#REF!</v>
      </c>
      <c r="P61" s="21">
        <v>0</v>
      </c>
      <c r="Q61" s="21" t="e">
        <f>IF(AND($F61&lt;=S$2,Q59&gt;0),Q59*$F61,0)</f>
        <v>#REF!</v>
      </c>
      <c r="R61" s="19" t="e">
        <f>IF(Q59&lt;$C$23,0,Q61)</f>
        <v>#REF!</v>
      </c>
      <c r="S61" s="21">
        <v>0</v>
      </c>
      <c r="T61" s="21" t="e">
        <f>IF(AND($F61&lt;=V$2,T59&gt;0),T59*$F61,0)</f>
        <v>#REF!</v>
      </c>
      <c r="U61" s="19" t="e">
        <f>IF(T59&lt;$C$23,0,T61)</f>
        <v>#REF!</v>
      </c>
      <c r="V61" s="21">
        <v>0</v>
      </c>
      <c r="W61" s="21" t="e">
        <f>IF(AND($F61&lt;=Y$2,W59&gt;0),W59*$F61,0)</f>
        <v>#REF!</v>
      </c>
      <c r="X61" s="19" t="e">
        <f>IF(W59&lt;$C$23,0,W61)</f>
        <v>#REF!</v>
      </c>
      <c r="Y61" s="21">
        <v>0</v>
      </c>
      <c r="Z61" s="21" t="e">
        <f>IF(AND($F61&lt;=AB$2,Z59&gt;0),Z59*$F61,0)</f>
        <v>#REF!</v>
      </c>
      <c r="AA61" s="19" t="e">
        <f>IF(Z59&lt;$C$23,0,Z61)</f>
        <v>#REF!</v>
      </c>
      <c r="AB61" s="21">
        <v>0</v>
      </c>
      <c r="AC61" s="21" t="e">
        <f>IF(AND($F61&lt;=AE$2,AC59&gt;0),AC59*$F61,0)</f>
        <v>#REF!</v>
      </c>
      <c r="AD61" s="19" t="e">
        <f>IF(AC59&lt;$C$23,0,AC61)</f>
        <v>#REF!</v>
      </c>
      <c r="AE61" s="21">
        <v>0</v>
      </c>
      <c r="AF61" s="21" t="e">
        <f>IF(AND($F61&lt;=AH$2,AF59&gt;0),AF59*$F61,0)</f>
        <v>#REF!</v>
      </c>
      <c r="AG61" s="19" t="e">
        <f>IF(AF59&lt;$C$23,0,AF61)</f>
        <v>#REF!</v>
      </c>
      <c r="AH61" s="21">
        <v>0</v>
      </c>
      <c r="AI61" s="21" t="e">
        <f>IF(AND($F61&lt;=AK$2,AI59&gt;0),AI59*$F61,0)</f>
        <v>#REF!</v>
      </c>
      <c r="AJ61" s="19" t="e">
        <f>IF(AI59&lt;$C$23,0,AI61)</f>
        <v>#REF!</v>
      </c>
      <c r="AK61" s="21">
        <v>0</v>
      </c>
      <c r="AL61" s="21" t="e">
        <f>IF(AND($F61&lt;=AN$2,AL59&gt;0),AL59*$F61,0)</f>
        <v>#REF!</v>
      </c>
      <c r="AM61" s="19" t="e">
        <f>IF(AL59&lt;$C$23,0,AL61)</f>
        <v>#REF!</v>
      </c>
      <c r="AN61" s="21">
        <v>0</v>
      </c>
      <c r="AO61" s="21" t="e">
        <f>IF(AND($F61&lt;=AQ$2,AO59&gt;0),AO59*$F61,0)</f>
        <v>#REF!</v>
      </c>
      <c r="AP61" s="19" t="e">
        <f>IF(AO59&lt;$C$23,0,AO61)</f>
        <v>#REF!</v>
      </c>
      <c r="AQ61" s="21">
        <v>0</v>
      </c>
      <c r="AR61" s="21" t="e">
        <f>IF(AND($F61&lt;=AT$2,AR59&gt;0),AR59*$F61,0)</f>
        <v>#REF!</v>
      </c>
      <c r="AS61" s="19" t="e">
        <f>IF(AR59&lt;$C$23,0,AR61)</f>
        <v>#REF!</v>
      </c>
      <c r="AT61" s="21">
        <v>0</v>
      </c>
      <c r="AU61" s="21" t="e">
        <f>IF(AND($F61&lt;=AW$2,AU59&gt;0),AU59*$F61,0)</f>
        <v>#REF!</v>
      </c>
      <c r="AV61" s="19" t="e">
        <f>IF(AU59&lt;$C$23,0,AU61)</f>
        <v>#REF!</v>
      </c>
      <c r="AW61" s="21">
        <v>0</v>
      </c>
      <c r="AX61" s="21" t="e">
        <f>IF(AND($F61&lt;=AZ$2,AX59&gt;0),AX59*$F61,0)</f>
        <v>#REF!</v>
      </c>
      <c r="AY61" s="19" t="e">
        <f>IF(AX59&lt;$C$23,0,AX61)</f>
        <v>#REF!</v>
      </c>
      <c r="AZ61" s="21">
        <v>0</v>
      </c>
      <c r="BA61" s="22" t="e">
        <f t="shared" si="1"/>
        <v>#REF!</v>
      </c>
      <c r="BC61" s="40" t="s">
        <v>236</v>
      </c>
      <c r="BD61">
        <v>585</v>
      </c>
      <c r="BE61">
        <v>51.22</v>
      </c>
      <c r="BF61">
        <v>42.55</v>
      </c>
      <c r="BG61">
        <v>-0.25</v>
      </c>
      <c r="BH61" s="12">
        <v>13.74</v>
      </c>
      <c r="BI61" s="12">
        <v>14.53</v>
      </c>
      <c r="BJ61" s="12"/>
      <c r="BK61" s="12"/>
      <c r="BM61" t="s">
        <v>237</v>
      </c>
      <c r="BN61">
        <v>12</v>
      </c>
      <c r="BO61">
        <v>24000</v>
      </c>
      <c r="BP61">
        <v>1100</v>
      </c>
      <c r="BQ61">
        <v>220</v>
      </c>
      <c r="BR61" s="23">
        <v>40</v>
      </c>
      <c r="BS61">
        <v>40</v>
      </c>
      <c r="BT61">
        <v>40</v>
      </c>
      <c r="BU61">
        <v>40</v>
      </c>
      <c r="CF61" s="24"/>
      <c r="CG61">
        <v>30</v>
      </c>
      <c r="CH61">
        <v>30</v>
      </c>
      <c r="CI61">
        <v>30</v>
      </c>
      <c r="CJ61">
        <v>30</v>
      </c>
      <c r="CU61" s="24"/>
      <c r="CV61">
        <v>2</v>
      </c>
      <c r="CW61">
        <v>2</v>
      </c>
      <c r="CX61">
        <v>2</v>
      </c>
      <c r="CY61">
        <v>2</v>
      </c>
      <c r="DK61" s="15"/>
      <c r="DL61" s="15"/>
    </row>
    <row r="62" spans="2:116" ht="15.75" customHeight="1">
      <c r="F62" s="26">
        <v>4</v>
      </c>
      <c r="G62" s="27">
        <f t="shared" si="30"/>
        <v>0</v>
      </c>
      <c r="H62" s="21">
        <f>IF(AND($F62&lt;=J$2,H59&gt;0),H59*$F62,0)</f>
        <v>4</v>
      </c>
      <c r="I62" s="19">
        <f>IF(H59&lt;$C$23,0,H62)</f>
        <v>0</v>
      </c>
      <c r="J62" s="20">
        <v>0</v>
      </c>
      <c r="K62" s="21" t="e">
        <f>IF(AND($F62&lt;=M$2,K59&gt;0),K59*$F62,0)</f>
        <v>#REF!</v>
      </c>
      <c r="L62" s="19" t="e">
        <f>IF(K59&lt;$C$23,0,K62)</f>
        <v>#REF!</v>
      </c>
      <c r="M62" s="21">
        <v>0</v>
      </c>
      <c r="N62" s="21" t="e">
        <f>IF(AND($F62&lt;=P$2,N59&gt;0),N59*$F62,0)</f>
        <v>#REF!</v>
      </c>
      <c r="O62" s="19" t="e">
        <f>IF(N59&lt;$C$23,0,N62)</f>
        <v>#REF!</v>
      </c>
      <c r="P62" s="21">
        <v>0</v>
      </c>
      <c r="Q62" s="21" t="e">
        <f>IF(AND($F62&lt;=S$2,Q59&gt;0),Q59*$F62,0)</f>
        <v>#REF!</v>
      </c>
      <c r="R62" s="19" t="e">
        <f>IF(Q59&lt;$C$23,0,Q62)</f>
        <v>#REF!</v>
      </c>
      <c r="S62" s="21">
        <v>0</v>
      </c>
      <c r="T62" s="21" t="e">
        <f>IF(AND($F62&lt;=V$2,T59&gt;0),T59*$F62,0)</f>
        <v>#REF!</v>
      </c>
      <c r="U62" s="19" t="e">
        <f>IF(T59&lt;$C$23,0,T62)</f>
        <v>#REF!</v>
      </c>
      <c r="V62" s="21">
        <v>0</v>
      </c>
      <c r="W62" s="21" t="e">
        <f>IF(AND($F62&lt;=Y$2,W59&gt;0),W59*$F62,0)</f>
        <v>#REF!</v>
      </c>
      <c r="X62" s="19" t="e">
        <f>IF(W59&lt;$C$23,0,W62)</f>
        <v>#REF!</v>
      </c>
      <c r="Y62" s="21">
        <v>0</v>
      </c>
      <c r="Z62" s="21" t="e">
        <f>IF(AND($F62&lt;=AB$2,Z59&gt;0),Z59*$F62,0)</f>
        <v>#REF!</v>
      </c>
      <c r="AA62" s="19" t="e">
        <f>IF(Z59&lt;$C$23,0,Z62)</f>
        <v>#REF!</v>
      </c>
      <c r="AB62" s="21">
        <v>0</v>
      </c>
      <c r="AC62" s="21" t="e">
        <f>IF(AND($F62&lt;=AE$2,AC59&gt;0),AC59*$F62,0)</f>
        <v>#REF!</v>
      </c>
      <c r="AD62" s="19" t="e">
        <f>IF(AC59&lt;$C$23,0,AC62)</f>
        <v>#REF!</v>
      </c>
      <c r="AE62" s="21">
        <v>0</v>
      </c>
      <c r="AF62" s="21" t="e">
        <f>IF(AND($F62&lt;=AH$2,AF59&gt;0),AF59*$F62,0)</f>
        <v>#REF!</v>
      </c>
      <c r="AG62" s="19" t="e">
        <f>IF(AF59&lt;$C$23,0,AF62)</f>
        <v>#REF!</v>
      </c>
      <c r="AH62" s="21">
        <v>0</v>
      </c>
      <c r="AI62" s="21" t="e">
        <f>IF(AND($F62&lt;=AK$2,AI59&gt;0),AI59*$F62,0)</f>
        <v>#REF!</v>
      </c>
      <c r="AJ62" s="19" t="e">
        <f>IF(AI59&lt;$C$23,0,AI62)</f>
        <v>#REF!</v>
      </c>
      <c r="AK62" s="21">
        <v>0</v>
      </c>
      <c r="AL62" s="21" t="e">
        <f>IF(AND($F62&lt;=AN$2,AL59&gt;0),AL59*$F62,0)</f>
        <v>#REF!</v>
      </c>
      <c r="AM62" s="19" t="e">
        <f>IF(AL59&lt;$C$23,0,AL62)</f>
        <v>#REF!</v>
      </c>
      <c r="AN62" s="21">
        <v>0</v>
      </c>
      <c r="AO62" s="21" t="e">
        <f>IF(AND($F62&lt;=AQ$2,AO59&gt;0),AO59*$F62,0)</f>
        <v>#REF!</v>
      </c>
      <c r="AP62" s="19" t="e">
        <f>IF(AO59&lt;$C$23,0,AO62)</f>
        <v>#REF!</v>
      </c>
      <c r="AQ62" s="21">
        <v>0</v>
      </c>
      <c r="AR62" s="21" t="e">
        <f>IF(AND($F62&lt;=AT$2,AR59&gt;0),AR59*$F62,0)</f>
        <v>#REF!</v>
      </c>
      <c r="AS62" s="19" t="e">
        <f>IF(AR59&lt;$C$23,0,AR62)</f>
        <v>#REF!</v>
      </c>
      <c r="AT62" s="21">
        <v>0</v>
      </c>
      <c r="AU62" s="21" t="e">
        <f>IF(AND($F62&lt;=AW$2,AU59&gt;0),AU59*$F62,0)</f>
        <v>#REF!</v>
      </c>
      <c r="AV62" s="19" t="e">
        <f>IF(AU59&lt;$C$23,0,AU62)</f>
        <v>#REF!</v>
      </c>
      <c r="AW62" s="21">
        <v>0</v>
      </c>
      <c r="AX62" s="21" t="e">
        <f>IF(AND($F62&lt;=AZ$2,AX59&gt;0),AX59*$F62,0)</f>
        <v>#REF!</v>
      </c>
      <c r="AY62" s="19" t="e">
        <f>IF(AX59&lt;$C$23,0,AX62)</f>
        <v>#REF!</v>
      </c>
      <c r="AZ62" s="21">
        <v>0</v>
      </c>
      <c r="BA62" s="22" t="e">
        <f t="shared" si="1"/>
        <v>#REF!</v>
      </c>
      <c r="BC62" t="s">
        <v>238</v>
      </c>
      <c r="BD62">
        <v>460</v>
      </c>
      <c r="BE62">
        <v>41.8</v>
      </c>
      <c r="BF62">
        <v>35.200000000000003</v>
      </c>
      <c r="BG62">
        <v>-0.28000000000000003</v>
      </c>
      <c r="BH62" s="12">
        <v>13.08</v>
      </c>
      <c r="BI62" s="12">
        <v>13.78</v>
      </c>
      <c r="BJ62" s="12"/>
      <c r="BK62" s="12"/>
      <c r="BM62" t="s">
        <v>239</v>
      </c>
      <c r="BN62">
        <v>15</v>
      </c>
      <c r="BO62">
        <f>2*$BN62*1000</f>
        <v>30000</v>
      </c>
      <c r="BP62">
        <v>1100</v>
      </c>
      <c r="BQ62">
        <v>410</v>
      </c>
      <c r="BR62" s="23">
        <v>40</v>
      </c>
      <c r="BS62">
        <v>40</v>
      </c>
      <c r="CF62" s="24"/>
      <c r="CG62">
        <v>30</v>
      </c>
      <c r="CH62">
        <v>30</v>
      </c>
      <c r="CU62" s="24"/>
      <c r="CV62">
        <v>2</v>
      </c>
      <c r="CW62">
        <v>2</v>
      </c>
      <c r="DK62" s="25"/>
      <c r="DL62" s="25"/>
    </row>
    <row r="63" spans="2:116" ht="15.75" customHeight="1">
      <c r="F63" s="45">
        <v>5</v>
      </c>
      <c r="G63" s="46">
        <f t="shared" si="30"/>
        <v>0</v>
      </c>
      <c r="H63" s="21">
        <f>IF(AND($F63&lt;=J$2,H59&gt;0),H59*$F63,0)</f>
        <v>5</v>
      </c>
      <c r="I63" s="19">
        <f>IF(H59&lt;$C$23,0,H63)</f>
        <v>0</v>
      </c>
      <c r="J63" s="47">
        <v>0</v>
      </c>
      <c r="K63" s="48" t="e">
        <f>IF(AND($F63&lt;=M$2,K59&gt;0),K59*$F63,0)</f>
        <v>#REF!</v>
      </c>
      <c r="L63" s="49" t="e">
        <f>IF(K59&lt;$C$23,0,K63)</f>
        <v>#REF!</v>
      </c>
      <c r="M63" s="48">
        <v>0</v>
      </c>
      <c r="N63" s="48" t="e">
        <f>IF(AND($F63&lt;=P$2,N59&gt;0),N59*$F63,0)</f>
        <v>#REF!</v>
      </c>
      <c r="O63" s="49" t="e">
        <f>IF(N59&lt;$C$23,0,N63)</f>
        <v>#REF!</v>
      </c>
      <c r="P63" s="48">
        <v>0</v>
      </c>
      <c r="Q63" s="48" t="e">
        <f>IF(AND($F63&lt;=S$2,Q59&gt;0),Q59*$F63,0)</f>
        <v>#REF!</v>
      </c>
      <c r="R63" s="49" t="e">
        <f>IF(Q59&lt;$C$23,0,Q63)</f>
        <v>#REF!</v>
      </c>
      <c r="S63" s="48">
        <v>0</v>
      </c>
      <c r="T63" s="48" t="e">
        <f>IF(AND($F63&lt;=V$2,T59&gt;0),T59*$F63,0)</f>
        <v>#REF!</v>
      </c>
      <c r="U63" s="49" t="e">
        <f>IF(T59&lt;$C$23,0,T63)</f>
        <v>#REF!</v>
      </c>
      <c r="V63" s="48">
        <v>0</v>
      </c>
      <c r="W63" s="48" t="e">
        <f>IF(AND($F63&lt;=Y$2,W59&gt;0),W59*$F63,0)</f>
        <v>#REF!</v>
      </c>
      <c r="X63" s="49" t="e">
        <f>IF(W59&lt;$C$23,0,W63)</f>
        <v>#REF!</v>
      </c>
      <c r="Y63" s="48">
        <v>0</v>
      </c>
      <c r="Z63" s="48" t="e">
        <f>IF(AND($F63&lt;=AB$2,Z59&gt;0),Z59*$F63,0)</f>
        <v>#REF!</v>
      </c>
      <c r="AA63" s="49" t="e">
        <f>IF(Z59&lt;$C$23,0,Z63)</f>
        <v>#REF!</v>
      </c>
      <c r="AB63" s="48">
        <v>0</v>
      </c>
      <c r="AC63" s="48" t="e">
        <f>IF(AND($F63&lt;=AE$2,AC59&gt;0),AC59*$F63,0)</f>
        <v>#REF!</v>
      </c>
      <c r="AD63" s="49" t="e">
        <f>IF(AC59&lt;$C$23,0,AC63)</f>
        <v>#REF!</v>
      </c>
      <c r="AE63" s="48">
        <v>0</v>
      </c>
      <c r="AF63" s="48" t="e">
        <f>IF(AND($F63&lt;=AH$2,AF59&gt;0),AF59*$F63,0)</f>
        <v>#REF!</v>
      </c>
      <c r="AG63" s="49" t="e">
        <f>IF(AF59&lt;$C$23,0,AF63)</f>
        <v>#REF!</v>
      </c>
      <c r="AH63" s="48">
        <v>0</v>
      </c>
      <c r="AI63" s="48" t="e">
        <f>IF(AND($F63&lt;=AK$2,AI59&gt;0),AI59*$F63,0)</f>
        <v>#REF!</v>
      </c>
      <c r="AJ63" s="49" t="e">
        <f>IF(AI59&lt;$C$23,0,AI63)</f>
        <v>#REF!</v>
      </c>
      <c r="AK63" s="48">
        <v>0</v>
      </c>
      <c r="AL63" s="48" t="e">
        <f>IF(AND($F63&lt;=AN$2,AL59&gt;0),AL59*$F63,0)</f>
        <v>#REF!</v>
      </c>
      <c r="AM63" s="49" t="e">
        <f>IF(AL59&lt;$C$23,0,AL63)</f>
        <v>#REF!</v>
      </c>
      <c r="AN63" s="48">
        <v>0</v>
      </c>
      <c r="AO63" s="48" t="e">
        <f>IF(AND($F63&lt;=AQ$2,AO59&gt;0),AO59*$F63,0)</f>
        <v>#REF!</v>
      </c>
      <c r="AP63" s="49" t="e">
        <f>IF(AO59&lt;$C$23,0,AO63)</f>
        <v>#REF!</v>
      </c>
      <c r="AQ63" s="48">
        <v>0</v>
      </c>
      <c r="AR63" s="48" t="e">
        <f>IF(AND($F63&lt;=AT$2,AR59&gt;0),AR59*$F63,0)</f>
        <v>#REF!</v>
      </c>
      <c r="AS63" s="49" t="e">
        <f>IF(AR59&lt;$C$23,0,AR63)</f>
        <v>#REF!</v>
      </c>
      <c r="AT63" s="48">
        <v>0</v>
      </c>
      <c r="AU63" s="48" t="e">
        <f>IF(AND($F63&lt;=AW$2,AU59&gt;0),AU59*$F63,0)</f>
        <v>#REF!</v>
      </c>
      <c r="AV63" s="49" t="e">
        <f>IF(AU59&lt;$C$23,0,AU63)</f>
        <v>#REF!</v>
      </c>
      <c r="AW63" s="48">
        <v>0</v>
      </c>
      <c r="AX63" s="48" t="e">
        <f>IF(AND($F63&lt;=AZ$2,AX59&gt;0),AX59*$F63,0)</f>
        <v>#REF!</v>
      </c>
      <c r="AY63" s="49" t="e">
        <f>IF(AX59&lt;$C$23,0,AX63)</f>
        <v>#REF!</v>
      </c>
      <c r="AZ63" s="46">
        <v>0</v>
      </c>
      <c r="BA63" s="22" t="e">
        <f t="shared" si="1"/>
        <v>#REF!</v>
      </c>
      <c r="BC63" s="50" t="s">
        <v>240</v>
      </c>
      <c r="BD63">
        <v>550</v>
      </c>
      <c r="BE63">
        <v>49.8</v>
      </c>
      <c r="BF63">
        <v>41.6</v>
      </c>
      <c r="BG63">
        <v>-0.28000000000000003</v>
      </c>
      <c r="BH63" s="12">
        <v>13.23</v>
      </c>
      <c r="BI63" s="12">
        <v>13.99</v>
      </c>
      <c r="BJ63" s="12"/>
      <c r="BK63" s="12"/>
      <c r="BM63" t="s">
        <v>241</v>
      </c>
      <c r="BN63">
        <v>15</v>
      </c>
      <c r="BO63">
        <f>$BN63*1000*1.5</f>
        <v>22500</v>
      </c>
      <c r="BP63">
        <v>1100</v>
      </c>
      <c r="BQ63">
        <v>410</v>
      </c>
      <c r="BR63" s="23">
        <v>40</v>
      </c>
      <c r="BS63">
        <v>40</v>
      </c>
      <c r="CF63" s="24"/>
      <c r="CG63">
        <v>30</v>
      </c>
      <c r="CH63">
        <v>30</v>
      </c>
      <c r="CU63" s="24"/>
      <c r="CV63">
        <v>2</v>
      </c>
      <c r="CW63">
        <v>2</v>
      </c>
      <c r="DK63" s="15"/>
      <c r="DL63" s="15"/>
    </row>
    <row r="64" spans="2:116" ht="15.75" customHeight="1">
      <c r="BC64" s="40" t="s">
        <v>242</v>
      </c>
      <c r="BD64">
        <v>560</v>
      </c>
      <c r="BE64">
        <v>50.2</v>
      </c>
      <c r="BF64">
        <v>42</v>
      </c>
      <c r="BG64">
        <v>-0.28000000000000003</v>
      </c>
      <c r="BH64" s="12">
        <v>13.33</v>
      </c>
      <c r="BI64" s="12">
        <v>14.11</v>
      </c>
      <c r="BJ64" s="12"/>
      <c r="BK64" s="12"/>
      <c r="BM64" t="s">
        <v>243</v>
      </c>
      <c r="BN64">
        <v>20</v>
      </c>
      <c r="BO64">
        <v>40000</v>
      </c>
      <c r="BP64">
        <v>800</v>
      </c>
      <c r="BQ64">
        <v>200</v>
      </c>
      <c r="BR64" s="13">
        <v>40</v>
      </c>
      <c r="BS64">
        <v>40</v>
      </c>
      <c r="BT64">
        <v>40</v>
      </c>
      <c r="BU64">
        <v>40</v>
      </c>
      <c r="CF64" s="14"/>
      <c r="CG64">
        <v>27</v>
      </c>
      <c r="CH64">
        <v>27</v>
      </c>
      <c r="CI64">
        <v>27</v>
      </c>
      <c r="CJ64">
        <v>27</v>
      </c>
      <c r="CU64" s="14"/>
      <c r="CV64">
        <v>2</v>
      </c>
      <c r="CW64">
        <v>2</v>
      </c>
      <c r="CX64">
        <v>2</v>
      </c>
      <c r="CY64">
        <v>2</v>
      </c>
      <c r="DK64" s="25">
        <v>185834</v>
      </c>
      <c r="DL64" s="25" t="s">
        <v>516</v>
      </c>
    </row>
    <row r="65" spans="2:116" ht="15.75" customHeight="1">
      <c r="B65" s="51" t="s">
        <v>244</v>
      </c>
      <c r="C65" s="51">
        <f>VLOOKUP($B$14,$BM$3:$DH$315,6,0)</f>
        <v>40</v>
      </c>
      <c r="D65" t="s">
        <v>92</v>
      </c>
      <c r="G65" t="s">
        <v>245</v>
      </c>
      <c r="J65">
        <f>SUM(J4:J63)</f>
        <v>1</v>
      </c>
      <c r="K65">
        <v>0</v>
      </c>
      <c r="M65">
        <f>SUM(M4:M63)</f>
        <v>1</v>
      </c>
      <c r="N65">
        <v>0</v>
      </c>
      <c r="P65">
        <f>SUM(P4:P63)</f>
        <v>1</v>
      </c>
      <c r="Q65">
        <v>0</v>
      </c>
      <c r="S65">
        <f>SUM(S4:S63)</f>
        <v>1</v>
      </c>
      <c r="T65">
        <v>0</v>
      </c>
      <c r="V65">
        <f>SUM(V4:V63)</f>
        <v>0</v>
      </c>
      <c r="W65">
        <v>0</v>
      </c>
      <c r="Y65">
        <f>SUM(Y4:Y63)</f>
        <v>0</v>
      </c>
      <c r="Z65">
        <v>0</v>
      </c>
      <c r="AB65">
        <f>SUM(AB4:AB63)</f>
        <v>0</v>
      </c>
      <c r="AC65">
        <v>0</v>
      </c>
      <c r="AE65">
        <f>SUM(AE4:AE63)</f>
        <v>0</v>
      </c>
      <c r="AF65">
        <v>0</v>
      </c>
      <c r="AH65">
        <f>SUM(AH4:AH63)</f>
        <v>0</v>
      </c>
      <c r="AI65">
        <v>0</v>
      </c>
      <c r="AK65">
        <f>SUM(AK4:AK63)</f>
        <v>0</v>
      </c>
      <c r="AL65">
        <v>0</v>
      </c>
      <c r="AN65">
        <f>SUM(AN4:AN63)</f>
        <v>0</v>
      </c>
      <c r="AO65">
        <v>0</v>
      </c>
      <c r="AQ65">
        <f>SUM(AQ4:AQ63)</f>
        <v>0</v>
      </c>
      <c r="AR65">
        <v>0</v>
      </c>
      <c r="AT65">
        <f>SUM(AT4:AT63)</f>
        <v>0</v>
      </c>
      <c r="AU65">
        <v>0</v>
      </c>
      <c r="AW65">
        <f>SUM(AW4:AW63)</f>
        <v>0</v>
      </c>
      <c r="AX65">
        <v>0</v>
      </c>
      <c r="AZ65">
        <f t="shared" ref="AZ65:BA65" si="31">SUM(AZ4:AZ63)</f>
        <v>0</v>
      </c>
      <c r="BA65" s="52" t="e">
        <f t="shared" si="31"/>
        <v>#REF!</v>
      </c>
      <c r="BC65" s="40" t="s">
        <v>246</v>
      </c>
      <c r="BD65">
        <v>560</v>
      </c>
      <c r="BE65">
        <v>47.42</v>
      </c>
      <c r="BF65">
        <v>39.51</v>
      </c>
      <c r="BG65">
        <v>-0.25</v>
      </c>
      <c r="BH65" s="12">
        <v>14.17</v>
      </c>
      <c r="BI65" s="12">
        <v>15</v>
      </c>
      <c r="BJ65" s="12"/>
      <c r="BK65" s="12"/>
      <c r="BM65" t="s">
        <v>247</v>
      </c>
      <c r="BN65">
        <v>20</v>
      </c>
      <c r="BO65">
        <f>2*$BN65*1000</f>
        <v>40000</v>
      </c>
      <c r="BP65">
        <v>1100</v>
      </c>
      <c r="BQ65">
        <v>480</v>
      </c>
      <c r="BR65" s="23">
        <v>40</v>
      </c>
      <c r="BS65">
        <v>40</v>
      </c>
      <c r="CF65" s="24"/>
      <c r="CG65">
        <v>30</v>
      </c>
      <c r="CH65">
        <v>30</v>
      </c>
      <c r="CU65" s="24"/>
      <c r="CV65">
        <v>2</v>
      </c>
      <c r="CW65">
        <v>2</v>
      </c>
      <c r="DK65" s="15"/>
      <c r="DL65" s="15"/>
    </row>
    <row r="66" spans="2:116" ht="15.75" customHeight="1">
      <c r="B66" s="51" t="s">
        <v>248</v>
      </c>
      <c r="C66" s="51">
        <f>VLOOKUP($B$14,$BM$3:$DH$315,7,0)</f>
        <v>25</v>
      </c>
      <c r="D66" t="s">
        <v>92</v>
      </c>
      <c r="G66" t="s">
        <v>249</v>
      </c>
      <c r="J66">
        <f t="shared" ref="J66:AZ66" si="32">IF(J2&gt;=1,1,0)</f>
        <v>1</v>
      </c>
      <c r="K66">
        <f t="shared" si="32"/>
        <v>0</v>
      </c>
      <c r="M66" t="e">
        <f t="shared" si="32"/>
        <v>#REF!</v>
      </c>
      <c r="N66">
        <f t="shared" si="32"/>
        <v>0</v>
      </c>
      <c r="P66" t="e">
        <f t="shared" si="32"/>
        <v>#REF!</v>
      </c>
      <c r="Q66">
        <f t="shared" si="32"/>
        <v>0</v>
      </c>
      <c r="S66" t="e">
        <f t="shared" si="32"/>
        <v>#REF!</v>
      </c>
      <c r="T66">
        <f t="shared" si="32"/>
        <v>0</v>
      </c>
      <c r="V66" t="e">
        <f t="shared" si="32"/>
        <v>#REF!</v>
      </c>
      <c r="W66">
        <f t="shared" si="32"/>
        <v>0</v>
      </c>
      <c r="Y66" t="e">
        <f t="shared" si="32"/>
        <v>#REF!</v>
      </c>
      <c r="Z66">
        <f t="shared" si="32"/>
        <v>0</v>
      </c>
      <c r="AB66" t="e">
        <f t="shared" si="32"/>
        <v>#REF!</v>
      </c>
      <c r="AC66">
        <f t="shared" si="32"/>
        <v>0</v>
      </c>
      <c r="AE66" t="e">
        <f t="shared" si="32"/>
        <v>#REF!</v>
      </c>
      <c r="AF66">
        <f t="shared" si="32"/>
        <v>0</v>
      </c>
      <c r="AH66" t="e">
        <f t="shared" si="32"/>
        <v>#REF!</v>
      </c>
      <c r="AI66">
        <f t="shared" si="32"/>
        <v>0</v>
      </c>
      <c r="AK66" t="e">
        <f t="shared" si="32"/>
        <v>#REF!</v>
      </c>
      <c r="AL66">
        <f t="shared" si="32"/>
        <v>0</v>
      </c>
      <c r="AN66" t="e">
        <f t="shared" si="32"/>
        <v>#REF!</v>
      </c>
      <c r="AO66">
        <f t="shared" si="32"/>
        <v>0</v>
      </c>
      <c r="AQ66" t="e">
        <f t="shared" si="32"/>
        <v>#REF!</v>
      </c>
      <c r="AR66">
        <f t="shared" si="32"/>
        <v>0</v>
      </c>
      <c r="AT66" t="e">
        <f t="shared" si="32"/>
        <v>#REF!</v>
      </c>
      <c r="AU66">
        <f t="shared" si="32"/>
        <v>0</v>
      </c>
      <c r="AW66" t="e">
        <f t="shared" si="32"/>
        <v>#REF!</v>
      </c>
      <c r="AX66">
        <f t="shared" si="32"/>
        <v>0</v>
      </c>
      <c r="AZ66" t="e">
        <f t="shared" si="32"/>
        <v>#REF!</v>
      </c>
      <c r="BA66" s="21">
        <f>ROUNDDOWN(C16/C3,0)</f>
        <v>50</v>
      </c>
      <c r="BC66" s="40" t="s">
        <v>250</v>
      </c>
      <c r="BD66">
        <v>580</v>
      </c>
      <c r="BE66">
        <v>51.51</v>
      </c>
      <c r="BF66">
        <v>42.9</v>
      </c>
      <c r="BG66">
        <v>-0.25</v>
      </c>
      <c r="BH66" s="12">
        <v>13.52</v>
      </c>
      <c r="BI66" s="12">
        <v>14.08</v>
      </c>
      <c r="BJ66" s="12"/>
      <c r="BK66" s="12"/>
      <c r="BM66" t="s">
        <v>251</v>
      </c>
      <c r="BN66">
        <v>20</v>
      </c>
      <c r="BO66">
        <f>$BN66*1000*1.5</f>
        <v>30000</v>
      </c>
      <c r="BP66">
        <v>1100</v>
      </c>
      <c r="BQ66">
        <v>480</v>
      </c>
      <c r="BR66" s="23">
        <v>40</v>
      </c>
      <c r="BS66">
        <v>40</v>
      </c>
      <c r="CF66" s="24"/>
      <c r="CG66">
        <v>30</v>
      </c>
      <c r="CH66">
        <v>30</v>
      </c>
      <c r="CU66" s="24"/>
      <c r="CV66">
        <v>2</v>
      </c>
      <c r="CW66">
        <v>2</v>
      </c>
      <c r="DK66" s="25"/>
      <c r="DL66" s="25"/>
    </row>
    <row r="67" spans="2:116" ht="15.75" customHeight="1">
      <c r="B67" s="51" t="s">
        <v>252</v>
      </c>
      <c r="C67" s="51">
        <f>VLOOKUP($B$14,$BM$3:$DH$315,8,0)</f>
        <v>0</v>
      </c>
      <c r="D67" t="s">
        <v>92</v>
      </c>
      <c r="Q67" s="53"/>
      <c r="R67" s="53"/>
      <c r="BC67" s="40" t="s">
        <v>253</v>
      </c>
      <c r="BD67">
        <v>585</v>
      </c>
      <c r="BE67">
        <v>48.42</v>
      </c>
      <c r="BF67">
        <v>40.51</v>
      </c>
      <c r="BG67">
        <v>-0.25</v>
      </c>
      <c r="BH67" s="12">
        <v>14.44</v>
      </c>
      <c r="BI67" s="12">
        <v>15.27</v>
      </c>
      <c r="BJ67" s="12"/>
      <c r="BK67" s="12"/>
      <c r="BM67" t="s">
        <v>254</v>
      </c>
      <c r="BN67">
        <v>250</v>
      </c>
      <c r="BO67">
        <f>2*$BN67*1000</f>
        <v>500000</v>
      </c>
      <c r="BP67">
        <v>1500</v>
      </c>
      <c r="BQ67">
        <v>550</v>
      </c>
      <c r="BR67" s="23">
        <v>115</v>
      </c>
      <c r="BS67">
        <v>115</v>
      </c>
      <c r="BT67">
        <v>115</v>
      </c>
      <c r="BU67">
        <v>115</v>
      </c>
      <c r="BV67">
        <v>115</v>
      </c>
      <c r="BW67">
        <v>115</v>
      </c>
      <c r="CF67" s="24"/>
      <c r="CG67">
        <v>65</v>
      </c>
      <c r="CH67">
        <v>65</v>
      </c>
      <c r="CI67">
        <v>65</v>
      </c>
      <c r="CJ67">
        <v>65</v>
      </c>
      <c r="CK67">
        <v>65</v>
      </c>
      <c r="CL67">
        <v>65</v>
      </c>
      <c r="CU67" s="24"/>
      <c r="CV67">
        <v>4</v>
      </c>
      <c r="CW67">
        <v>5</v>
      </c>
      <c r="CX67">
        <v>5</v>
      </c>
      <c r="CY67">
        <v>4</v>
      </c>
      <c r="CZ67">
        <v>5</v>
      </c>
      <c r="DA67">
        <v>5</v>
      </c>
      <c r="DK67" s="15">
        <v>107284</v>
      </c>
      <c r="DL67" s="15" t="s">
        <v>516</v>
      </c>
    </row>
    <row r="68" spans="2:116" ht="15.75" customHeight="1">
      <c r="B68" s="51" t="s">
        <v>255</v>
      </c>
      <c r="C68" s="51">
        <f>VLOOKUP($B$14,$BM$3:$DH$315,9,0)</f>
        <v>0</v>
      </c>
      <c r="D68" t="s">
        <v>92</v>
      </c>
      <c r="Q68" s="53"/>
      <c r="R68" s="53"/>
      <c r="BC68" s="40" t="s">
        <v>256</v>
      </c>
      <c r="BD68">
        <v>590</v>
      </c>
      <c r="BE68">
        <v>53.7</v>
      </c>
      <c r="BF68">
        <v>44.8</v>
      </c>
      <c r="BG68">
        <v>-0.28000000000000003</v>
      </c>
      <c r="BH68" s="12">
        <v>13.17</v>
      </c>
      <c r="BI68" s="12">
        <v>13.94</v>
      </c>
      <c r="BJ68" s="12"/>
      <c r="BK68" s="12"/>
      <c r="BM68" t="s">
        <v>257</v>
      </c>
      <c r="BN68">
        <v>250</v>
      </c>
      <c r="BO68">
        <f>$BN68*1000*1.5</f>
        <v>375000</v>
      </c>
      <c r="BP68">
        <v>1500</v>
      </c>
      <c r="BQ68">
        <v>550</v>
      </c>
      <c r="BR68" s="23">
        <v>115</v>
      </c>
      <c r="BS68">
        <v>115</v>
      </c>
      <c r="BT68">
        <v>115</v>
      </c>
      <c r="BU68">
        <v>115</v>
      </c>
      <c r="BV68">
        <v>115</v>
      </c>
      <c r="BW68">
        <v>115</v>
      </c>
      <c r="CF68" s="24"/>
      <c r="CG68">
        <v>65</v>
      </c>
      <c r="CH68">
        <v>65</v>
      </c>
      <c r="CI68">
        <v>65</v>
      </c>
      <c r="CJ68">
        <v>65</v>
      </c>
      <c r="CK68">
        <v>65</v>
      </c>
      <c r="CL68">
        <v>65</v>
      </c>
      <c r="CU68" s="24"/>
      <c r="CV68">
        <v>4</v>
      </c>
      <c r="CW68">
        <v>5</v>
      </c>
      <c r="CX68">
        <v>5</v>
      </c>
      <c r="CY68">
        <v>4</v>
      </c>
      <c r="CZ68">
        <v>5</v>
      </c>
      <c r="DA68">
        <v>5</v>
      </c>
      <c r="DK68" s="25"/>
      <c r="DL68" s="25"/>
    </row>
    <row r="69" spans="2:116" ht="15.75" customHeight="1">
      <c r="B69" s="51" t="s">
        <v>258</v>
      </c>
      <c r="C69" s="51">
        <f>VLOOKUP($B$14,$BM$3:$DH$315,10,0)</f>
        <v>0</v>
      </c>
      <c r="D69" t="s">
        <v>92</v>
      </c>
      <c r="Q69" s="53"/>
      <c r="R69" s="53"/>
      <c r="BC69" s="40" t="s">
        <v>259</v>
      </c>
      <c r="BD69">
        <v>590</v>
      </c>
      <c r="BE69">
        <v>48.62</v>
      </c>
      <c r="BF69">
        <v>40.72</v>
      </c>
      <c r="BG69">
        <v>-0.25</v>
      </c>
      <c r="BH69" s="12">
        <v>14.94</v>
      </c>
      <c r="BI69" s="12">
        <v>15.32</v>
      </c>
      <c r="BJ69" s="12"/>
      <c r="BK69" s="12"/>
      <c r="BM69" t="s">
        <v>260</v>
      </c>
      <c r="BN69">
        <v>25</v>
      </c>
      <c r="BO69">
        <f>2*$BN69*1000</f>
        <v>50000</v>
      </c>
      <c r="BP69">
        <v>1100</v>
      </c>
      <c r="BQ69">
        <v>530</v>
      </c>
      <c r="BR69" s="23">
        <v>40</v>
      </c>
      <c r="BS69">
        <v>40</v>
      </c>
      <c r="CF69" s="24"/>
      <c r="CG69">
        <v>30</v>
      </c>
      <c r="CH69">
        <v>30</v>
      </c>
      <c r="CU69" s="24"/>
      <c r="CV69">
        <v>2</v>
      </c>
      <c r="CW69">
        <v>2</v>
      </c>
      <c r="DK69" s="15"/>
      <c r="DL69" s="15"/>
    </row>
    <row r="70" spans="2:116" ht="15.75" customHeight="1">
      <c r="B70" s="51" t="s">
        <v>261</v>
      </c>
      <c r="C70" s="51">
        <f>VLOOKUP($B$14,$BM$3:$DH$315,11,0)</f>
        <v>0</v>
      </c>
      <c r="D70" t="s">
        <v>92</v>
      </c>
      <c r="Q70" s="53"/>
      <c r="R70" s="53"/>
      <c r="BC70" s="40" t="s">
        <v>262</v>
      </c>
      <c r="BD70">
        <v>595</v>
      </c>
      <c r="BE70">
        <v>52</v>
      </c>
      <c r="BF70">
        <v>43.5</v>
      </c>
      <c r="BG70">
        <v>-0.25</v>
      </c>
      <c r="BH70" s="12">
        <v>13.68</v>
      </c>
      <c r="BI70" s="12">
        <v>14.26</v>
      </c>
      <c r="BJ70" s="12"/>
      <c r="BK70" s="12"/>
      <c r="BM70" t="s">
        <v>263</v>
      </c>
      <c r="BN70">
        <v>25</v>
      </c>
      <c r="BO70">
        <f>$BN70*1000*1.5</f>
        <v>37500</v>
      </c>
      <c r="BP70">
        <v>1100</v>
      </c>
      <c r="BQ70">
        <v>530</v>
      </c>
      <c r="BR70" s="23">
        <v>40</v>
      </c>
      <c r="BS70">
        <v>40</v>
      </c>
      <c r="CF70" s="24"/>
      <c r="CG70">
        <v>30</v>
      </c>
      <c r="CH70">
        <v>30</v>
      </c>
      <c r="CU70" s="24"/>
      <c r="CV70">
        <v>2</v>
      </c>
      <c r="CW70">
        <v>2</v>
      </c>
      <c r="DK70" s="25"/>
      <c r="DL70" s="25"/>
    </row>
    <row r="71" spans="2:116" ht="15.75" customHeight="1">
      <c r="B71" s="51" t="s">
        <v>264</v>
      </c>
      <c r="C71" s="51">
        <f>VLOOKUP($B$14,$BM$3:$DH$315,12,0)</f>
        <v>0</v>
      </c>
      <c r="D71" t="s">
        <v>92</v>
      </c>
      <c r="Q71" s="53"/>
      <c r="R71" s="53"/>
      <c r="BC71" t="s">
        <v>265</v>
      </c>
      <c r="BD71" s="12">
        <v>610</v>
      </c>
      <c r="BE71" s="12">
        <v>49.05</v>
      </c>
      <c r="BF71" s="12">
        <v>40.659999999999997</v>
      </c>
      <c r="BG71" s="12">
        <v>-0.25</v>
      </c>
      <c r="BH71" s="12">
        <v>15</v>
      </c>
      <c r="BI71" s="12">
        <v>15.84</v>
      </c>
      <c r="BJ71" s="12"/>
      <c r="BK71" s="12"/>
      <c r="BM71" t="s">
        <v>266</v>
      </c>
      <c r="BN71">
        <v>30</v>
      </c>
      <c r="BO71">
        <v>60000</v>
      </c>
      <c r="BP71">
        <v>1100</v>
      </c>
      <c r="BQ71">
        <v>200</v>
      </c>
      <c r="BR71" s="23">
        <v>40</v>
      </c>
      <c r="BS71">
        <v>40</v>
      </c>
      <c r="BT71">
        <v>40</v>
      </c>
      <c r="BU71">
        <v>40</v>
      </c>
      <c r="CF71" s="24"/>
      <c r="CG71" s="33">
        <v>26</v>
      </c>
      <c r="CH71" s="33">
        <v>26</v>
      </c>
      <c r="CI71" s="33">
        <v>26</v>
      </c>
      <c r="CJ71" s="33">
        <v>26</v>
      </c>
      <c r="CK71" s="33"/>
      <c r="CL71" s="33"/>
      <c r="CM71" s="33"/>
      <c r="CN71" s="33"/>
      <c r="CO71" s="33"/>
      <c r="CP71" s="33"/>
      <c r="CQ71" s="33"/>
      <c r="CR71" s="33"/>
      <c r="CS71" s="33"/>
      <c r="CT71" s="33"/>
      <c r="CU71" s="34"/>
      <c r="CV71">
        <v>2</v>
      </c>
      <c r="CW71">
        <v>2</v>
      </c>
      <c r="CX71">
        <v>2</v>
      </c>
      <c r="CY71">
        <v>2</v>
      </c>
      <c r="DK71" s="15"/>
      <c r="DL71" s="15"/>
    </row>
    <row r="72" spans="2:116" ht="15.75" customHeight="1">
      <c r="B72" s="51" t="s">
        <v>267</v>
      </c>
      <c r="C72" s="51">
        <f>VLOOKUP($B$14,$BM$3:$DH$315,13,0)</f>
        <v>0</v>
      </c>
      <c r="D72" t="s">
        <v>92</v>
      </c>
      <c r="Q72" s="53"/>
      <c r="R72" s="53"/>
      <c r="BC72" t="s">
        <v>268</v>
      </c>
      <c r="BD72" s="12">
        <v>610</v>
      </c>
      <c r="BE72" s="12">
        <v>49.05</v>
      </c>
      <c r="BF72" s="12">
        <v>40.659999999999997</v>
      </c>
      <c r="BG72" s="12">
        <v>-0.25</v>
      </c>
      <c r="BH72" s="12">
        <v>15</v>
      </c>
      <c r="BI72" s="12">
        <v>15.84</v>
      </c>
      <c r="BJ72" s="12"/>
      <c r="BK72" s="12"/>
      <c r="BM72" t="s">
        <v>269</v>
      </c>
      <c r="BN72">
        <v>3</v>
      </c>
      <c r="BO72">
        <f>$BN72*1.7*1000</f>
        <v>5100</v>
      </c>
      <c r="BP72">
        <v>600</v>
      </c>
      <c r="BQ72">
        <v>100</v>
      </c>
      <c r="BR72" s="23">
        <v>20</v>
      </c>
      <c r="BS72">
        <v>20</v>
      </c>
      <c r="CB72" s="54"/>
      <c r="CC72" s="54"/>
      <c r="CD72" s="54"/>
      <c r="CE72" s="54"/>
      <c r="CF72" s="55"/>
      <c r="CG72">
        <v>13.5</v>
      </c>
      <c r="CH72">
        <v>13.5</v>
      </c>
      <c r="CU72" s="24"/>
      <c r="CV72">
        <v>1</v>
      </c>
      <c r="CW72">
        <v>1</v>
      </c>
      <c r="DK72" s="25">
        <v>107271</v>
      </c>
      <c r="DL72" s="25" t="s">
        <v>516</v>
      </c>
    </row>
    <row r="73" spans="2:116" ht="15.75" customHeight="1">
      <c r="B73" s="51" t="s">
        <v>270</v>
      </c>
      <c r="C73" s="51">
        <f>VLOOKUP($B$14,$BM$3:$DH$315,14,0)</f>
        <v>0</v>
      </c>
      <c r="D73" t="s">
        <v>92</v>
      </c>
      <c r="Q73" s="53"/>
      <c r="R73" s="53"/>
      <c r="BC73" t="s">
        <v>271</v>
      </c>
      <c r="BD73">
        <v>650</v>
      </c>
      <c r="BE73">
        <v>45.58</v>
      </c>
      <c r="BF73">
        <v>37.61</v>
      </c>
      <c r="BG73">
        <v>-0.28000000000000003</v>
      </c>
      <c r="BH73" s="12">
        <v>17.28</v>
      </c>
      <c r="BI73" s="12">
        <v>18.16</v>
      </c>
      <c r="BJ73" s="12"/>
      <c r="BK73" s="12"/>
      <c r="BM73" t="s">
        <v>272</v>
      </c>
      <c r="BN73">
        <v>3</v>
      </c>
      <c r="BO73">
        <f>$BN73*1000*1.5</f>
        <v>4500</v>
      </c>
      <c r="BP73">
        <v>600</v>
      </c>
      <c r="BQ73">
        <v>100</v>
      </c>
      <c r="BR73" s="23">
        <v>20</v>
      </c>
      <c r="BS73">
        <v>20</v>
      </c>
      <c r="CB73" s="54"/>
      <c r="CC73" s="54"/>
      <c r="CD73" s="54"/>
      <c r="CE73" s="54"/>
      <c r="CF73" s="55"/>
      <c r="CG73">
        <v>13.5</v>
      </c>
      <c r="CH73">
        <v>13.5</v>
      </c>
      <c r="CU73" s="24"/>
      <c r="CV73">
        <v>1</v>
      </c>
      <c r="CW73">
        <v>1</v>
      </c>
      <c r="DK73" s="15"/>
      <c r="DL73" s="15"/>
    </row>
    <row r="74" spans="2:116" ht="15.75" customHeight="1">
      <c r="B74" s="51" t="s">
        <v>273</v>
      </c>
      <c r="C74" s="51">
        <f>VLOOKUP($B$14,$BM$3:$DH$315,15,0)</f>
        <v>0</v>
      </c>
      <c r="D74" t="s">
        <v>92</v>
      </c>
      <c r="Q74" s="53"/>
      <c r="R74" s="53"/>
      <c r="BC74" s="40" t="s">
        <v>274</v>
      </c>
      <c r="BD74">
        <v>665</v>
      </c>
      <c r="BE74" s="56">
        <v>46.18</v>
      </c>
      <c r="BF74">
        <v>38.21</v>
      </c>
      <c r="BG74">
        <v>-0.25</v>
      </c>
      <c r="BH74" s="12">
        <v>17.399999999999999</v>
      </c>
      <c r="BI74" s="12">
        <v>18.309999999999999</v>
      </c>
      <c r="BJ74" s="12"/>
      <c r="BK74" s="12"/>
      <c r="BM74" t="s">
        <v>275</v>
      </c>
      <c r="BN74">
        <v>4</v>
      </c>
      <c r="BO74">
        <f t="shared" ref="BO74:BO75" si="33">$BN74*1000*1.7</f>
        <v>6800</v>
      </c>
      <c r="BP74">
        <v>600</v>
      </c>
      <c r="BQ74">
        <v>100</v>
      </c>
      <c r="BR74" s="23">
        <v>20</v>
      </c>
      <c r="BS74">
        <v>20</v>
      </c>
      <c r="CF74" s="24"/>
      <c r="CG74">
        <v>13.5</v>
      </c>
      <c r="CH74">
        <v>13.5</v>
      </c>
      <c r="CI74" s="33"/>
      <c r="CJ74" s="33"/>
      <c r="CK74" s="33"/>
      <c r="CL74" s="33"/>
      <c r="CM74" s="33"/>
      <c r="CN74" s="33"/>
      <c r="CO74" s="33"/>
      <c r="CP74" s="33"/>
      <c r="CQ74" s="33"/>
      <c r="CR74" s="33"/>
      <c r="CS74" s="33"/>
      <c r="CT74" s="33"/>
      <c r="CU74" s="34"/>
      <c r="CV74">
        <v>1</v>
      </c>
      <c r="CW74">
        <v>1</v>
      </c>
      <c r="DK74" s="25">
        <v>121772</v>
      </c>
      <c r="DL74" s="25" t="s">
        <v>516</v>
      </c>
    </row>
    <row r="75" spans="2:116" ht="15.75" customHeight="1">
      <c r="B75" s="51" t="s">
        <v>276</v>
      </c>
      <c r="C75" s="51">
        <f>VLOOKUP($B$14,$BM$3:$DH$315,16,0)</f>
        <v>0</v>
      </c>
      <c r="D75" t="s">
        <v>92</v>
      </c>
      <c r="Q75" s="53"/>
      <c r="R75" s="53"/>
      <c r="BC75" t="s">
        <v>277</v>
      </c>
      <c r="BD75" s="12">
        <v>670</v>
      </c>
      <c r="BE75" s="12">
        <v>46.38</v>
      </c>
      <c r="BF75" s="12">
        <v>38.409999999999997</v>
      </c>
      <c r="BG75" s="12">
        <v>-0.25</v>
      </c>
      <c r="BH75" s="12">
        <v>17.440000000000001</v>
      </c>
      <c r="BI75" s="12">
        <v>18.36</v>
      </c>
      <c r="BJ75" s="12"/>
      <c r="BK75" s="12"/>
      <c r="BM75" t="s">
        <v>275</v>
      </c>
      <c r="BN75">
        <v>4</v>
      </c>
      <c r="BO75">
        <f t="shared" si="33"/>
        <v>6800</v>
      </c>
      <c r="BP75">
        <v>600</v>
      </c>
      <c r="BQ75">
        <v>100</v>
      </c>
      <c r="BR75" s="23">
        <v>20</v>
      </c>
      <c r="BS75">
        <v>20</v>
      </c>
      <c r="CF75" s="24"/>
      <c r="CG75">
        <v>13.5</v>
      </c>
      <c r="CH75">
        <v>13.5</v>
      </c>
      <c r="CI75" s="33"/>
      <c r="CJ75" s="33"/>
      <c r="CK75" s="33"/>
      <c r="CL75" s="33"/>
      <c r="CM75" s="33"/>
      <c r="CN75" s="33"/>
      <c r="CO75" s="33"/>
      <c r="CP75" s="33"/>
      <c r="CQ75" s="33"/>
      <c r="CR75" s="33"/>
      <c r="CS75" s="33"/>
      <c r="CT75" s="33"/>
      <c r="CU75" s="34"/>
      <c r="CV75">
        <v>1</v>
      </c>
      <c r="CW75">
        <v>1</v>
      </c>
      <c r="DK75" s="15"/>
      <c r="DL75" s="15"/>
    </row>
    <row r="76" spans="2:116" ht="15.75" customHeight="1">
      <c r="B76" s="51" t="s">
        <v>278</v>
      </c>
      <c r="C76" s="51">
        <f>VLOOKUP($B$14,$BM$3:$DH$315,17,0)</f>
        <v>0</v>
      </c>
      <c r="D76" t="s">
        <v>92</v>
      </c>
      <c r="Q76" s="53"/>
      <c r="R76" s="53"/>
      <c r="BC76" t="s">
        <v>279</v>
      </c>
      <c r="BD76" s="12">
        <v>700</v>
      </c>
      <c r="BE76" s="12">
        <v>48.2</v>
      </c>
      <c r="BF76" s="12">
        <v>40.200000000000003</v>
      </c>
      <c r="BG76" s="12">
        <v>-0.25</v>
      </c>
      <c r="BH76" s="12">
        <v>17.41</v>
      </c>
      <c r="BI76" s="12">
        <v>18.48</v>
      </c>
      <c r="BJ76" s="12"/>
      <c r="BK76" s="12"/>
      <c r="BM76" t="s">
        <v>280</v>
      </c>
      <c r="BN76">
        <v>50</v>
      </c>
      <c r="BO76">
        <v>100000</v>
      </c>
      <c r="BP76">
        <v>1100</v>
      </c>
      <c r="BQ76">
        <v>200</v>
      </c>
      <c r="BR76" s="23">
        <v>40</v>
      </c>
      <c r="BS76">
        <v>40</v>
      </c>
      <c r="BT76">
        <v>40</v>
      </c>
      <c r="BU76">
        <v>40</v>
      </c>
      <c r="CF76" s="24"/>
      <c r="CG76" s="33">
        <v>30</v>
      </c>
      <c r="CH76" s="33">
        <v>30</v>
      </c>
      <c r="CI76" s="33">
        <v>30</v>
      </c>
      <c r="CJ76" s="33">
        <v>30</v>
      </c>
      <c r="CK76" s="33"/>
      <c r="CL76" s="33"/>
      <c r="CM76" s="33"/>
      <c r="CN76" s="33"/>
      <c r="CO76" s="33"/>
      <c r="CP76" s="33"/>
      <c r="CQ76" s="33"/>
      <c r="CR76" s="33"/>
      <c r="CS76" s="33"/>
      <c r="CT76" s="33"/>
      <c r="CU76" s="34"/>
      <c r="CV76">
        <v>2</v>
      </c>
      <c r="CW76">
        <v>2</v>
      </c>
      <c r="CX76">
        <v>2</v>
      </c>
      <c r="CY76">
        <v>2</v>
      </c>
      <c r="DK76" s="25"/>
      <c r="DL76" s="25"/>
    </row>
    <row r="77" spans="2:116" ht="15.75" customHeight="1">
      <c r="B77" s="51" t="s">
        <v>281</v>
      </c>
      <c r="C77" s="51">
        <f>VLOOKUP($B$14,$BM$3:$DH$315,18,0)</f>
        <v>0</v>
      </c>
      <c r="D77" t="s">
        <v>92</v>
      </c>
      <c r="Q77" s="53"/>
      <c r="R77" s="53"/>
      <c r="BC77" t="s">
        <v>282</v>
      </c>
      <c r="BD77">
        <v>570</v>
      </c>
      <c r="BE77">
        <v>47.82</v>
      </c>
      <c r="BF77">
        <v>39.909999999999997</v>
      </c>
      <c r="BG77">
        <v>-0.25</v>
      </c>
      <c r="BH77">
        <v>14.28</v>
      </c>
      <c r="BI77">
        <v>15.12</v>
      </c>
      <c r="BM77" t="s">
        <v>283</v>
      </c>
      <c r="BN77">
        <v>5</v>
      </c>
      <c r="BO77">
        <f>$BN77*1.7*1000</f>
        <v>8500</v>
      </c>
      <c r="BP77">
        <v>600</v>
      </c>
      <c r="BQ77">
        <v>100</v>
      </c>
      <c r="BR77" s="23">
        <v>20</v>
      </c>
      <c r="BS77">
        <v>20</v>
      </c>
      <c r="CB77" s="33"/>
      <c r="CC77" s="33"/>
      <c r="CD77" s="33"/>
      <c r="CE77" s="33"/>
      <c r="CF77" s="34"/>
      <c r="CG77">
        <v>13.5</v>
      </c>
      <c r="CH77">
        <v>13.5</v>
      </c>
      <c r="CU77" s="24"/>
      <c r="CV77">
        <v>1</v>
      </c>
      <c r="CW77">
        <v>1</v>
      </c>
      <c r="DK77" s="31">
        <v>107272</v>
      </c>
      <c r="DL77" s="31" t="s">
        <v>516</v>
      </c>
    </row>
    <row r="78" spans="2:116" ht="15.75" customHeight="1">
      <c r="B78" s="51" t="s">
        <v>284</v>
      </c>
      <c r="C78" s="51">
        <f>VLOOKUP($B$14,$BM$3:$DH$315,19,0)</f>
        <v>0</v>
      </c>
      <c r="D78" t="s">
        <v>92</v>
      </c>
      <c r="Q78" s="53"/>
      <c r="R78" s="53"/>
      <c r="BC78" s="40" t="s">
        <v>285</v>
      </c>
      <c r="BD78">
        <v>585</v>
      </c>
      <c r="BE78">
        <v>48.42</v>
      </c>
      <c r="BF78">
        <v>40.51</v>
      </c>
      <c r="BG78">
        <v>-0.25</v>
      </c>
      <c r="BH78" s="12">
        <v>14.44</v>
      </c>
      <c r="BI78" s="12">
        <v>15.27</v>
      </c>
      <c r="BJ78" s="12"/>
      <c r="BK78" s="12"/>
      <c r="BM78" t="s">
        <v>286</v>
      </c>
      <c r="BN78">
        <v>5</v>
      </c>
      <c r="BO78">
        <f>$BN78*1000*1.5</f>
        <v>7500</v>
      </c>
      <c r="BP78">
        <v>600</v>
      </c>
      <c r="BQ78">
        <v>100</v>
      </c>
      <c r="BR78" s="23">
        <v>20</v>
      </c>
      <c r="BS78">
        <v>20</v>
      </c>
      <c r="CB78" s="33"/>
      <c r="CC78" s="33"/>
      <c r="CD78" s="33"/>
      <c r="CE78" s="33"/>
      <c r="CF78" s="34"/>
      <c r="CG78">
        <v>13.5</v>
      </c>
      <c r="CH78">
        <v>13.5</v>
      </c>
      <c r="CU78" s="24"/>
      <c r="CV78">
        <v>1</v>
      </c>
      <c r="CW78">
        <v>1</v>
      </c>
      <c r="DK78" s="25"/>
      <c r="DL78" s="25"/>
    </row>
    <row r="79" spans="2:116" ht="15.75" customHeight="1">
      <c r="B79" s="51" t="s">
        <v>287</v>
      </c>
      <c r="C79" s="51">
        <f>VLOOKUP($B$14,$BM$3:$DH$315,20,0)</f>
        <v>0</v>
      </c>
      <c r="D79" t="s">
        <v>92</v>
      </c>
      <c r="Q79" s="53"/>
      <c r="R79" s="53"/>
      <c r="BC79" s="40" t="s">
        <v>288</v>
      </c>
      <c r="BD79" s="12">
        <v>620</v>
      </c>
      <c r="BE79" s="12">
        <v>52.09</v>
      </c>
      <c r="BF79" s="12">
        <v>43.48</v>
      </c>
      <c r="BG79" s="12">
        <v>-0.25</v>
      </c>
      <c r="BH79" s="12">
        <v>14.26</v>
      </c>
      <c r="BI79" s="12">
        <v>15.09</v>
      </c>
      <c r="BJ79" s="12"/>
      <c r="BK79" s="12"/>
      <c r="BM79" t="s">
        <v>289</v>
      </c>
      <c r="BN79">
        <v>60</v>
      </c>
      <c r="BO79">
        <v>120000</v>
      </c>
      <c r="BP79">
        <v>1100</v>
      </c>
      <c r="BQ79">
        <v>200</v>
      </c>
      <c r="BR79" s="23">
        <v>30</v>
      </c>
      <c r="BS79">
        <v>30</v>
      </c>
      <c r="BT79">
        <v>30</v>
      </c>
      <c r="BU79">
        <v>30</v>
      </c>
      <c r="BV79">
        <v>30</v>
      </c>
      <c r="BW79">
        <v>30</v>
      </c>
      <c r="CF79" s="24"/>
      <c r="CG79">
        <v>22</v>
      </c>
      <c r="CH79">
        <v>22</v>
      </c>
      <c r="CI79">
        <v>22</v>
      </c>
      <c r="CJ79">
        <v>22</v>
      </c>
      <c r="CK79">
        <v>22</v>
      </c>
      <c r="CL79">
        <v>22</v>
      </c>
      <c r="CU79" s="24"/>
      <c r="CV79">
        <v>2</v>
      </c>
      <c r="CW79">
        <v>2</v>
      </c>
      <c r="CX79">
        <v>2</v>
      </c>
      <c r="CY79">
        <v>2</v>
      </c>
      <c r="CZ79">
        <v>2</v>
      </c>
      <c r="DA79">
        <v>2</v>
      </c>
      <c r="DK79" s="15"/>
      <c r="DL79" s="15"/>
    </row>
    <row r="80" spans="2:116" ht="15.75" customHeight="1">
      <c r="Q80" s="53"/>
      <c r="R80" s="53"/>
      <c r="BC80" t="s">
        <v>290</v>
      </c>
      <c r="BD80" s="12">
        <v>620</v>
      </c>
      <c r="BE80" s="12">
        <v>49.55</v>
      </c>
      <c r="BF80" s="12">
        <v>41.06</v>
      </c>
      <c r="BG80" s="12">
        <v>-0.25</v>
      </c>
      <c r="BH80" s="12">
        <v>15.1</v>
      </c>
      <c r="BI80" s="12">
        <v>15.93</v>
      </c>
      <c r="BJ80" s="12"/>
      <c r="BK80" s="12"/>
      <c r="BM80" t="s">
        <v>291</v>
      </c>
      <c r="BN80">
        <v>6</v>
      </c>
      <c r="BO80">
        <f>$BN80*1.7*1000</f>
        <v>10200</v>
      </c>
      <c r="BP80">
        <v>600</v>
      </c>
      <c r="BQ80">
        <v>100</v>
      </c>
      <c r="BR80" s="23">
        <v>20</v>
      </c>
      <c r="BS80">
        <v>20</v>
      </c>
      <c r="CB80" s="57"/>
      <c r="CC80" s="57"/>
      <c r="CD80" s="57"/>
      <c r="CE80" s="57"/>
      <c r="CF80" s="58"/>
      <c r="CG80">
        <v>13.5</v>
      </c>
      <c r="CH80">
        <v>13.5</v>
      </c>
      <c r="CU80" s="24"/>
      <c r="CV80">
        <v>1</v>
      </c>
      <c r="CW80">
        <v>1</v>
      </c>
      <c r="DK80" s="25">
        <v>107273</v>
      </c>
      <c r="DL80" s="25" t="s">
        <v>516</v>
      </c>
    </row>
    <row r="81" spans="2:116" ht="15.75" customHeight="1">
      <c r="Q81" s="53"/>
      <c r="R81" s="53"/>
      <c r="BC81" s="40" t="s">
        <v>292</v>
      </c>
      <c r="BD81" s="12">
        <v>620</v>
      </c>
      <c r="BE81" s="12">
        <v>49.55</v>
      </c>
      <c r="BF81" s="12">
        <v>41.06</v>
      </c>
      <c r="BG81" s="12">
        <v>-0.25</v>
      </c>
      <c r="BH81" s="12">
        <v>15.1</v>
      </c>
      <c r="BI81" s="12">
        <v>15.93</v>
      </c>
      <c r="BJ81" s="12"/>
      <c r="BK81" s="12"/>
      <c r="BM81" t="s">
        <v>293</v>
      </c>
      <c r="BN81">
        <v>6</v>
      </c>
      <c r="BO81">
        <f>$BN81*1000*1.5</f>
        <v>9000</v>
      </c>
      <c r="BP81">
        <v>600</v>
      </c>
      <c r="BQ81">
        <v>100</v>
      </c>
      <c r="BR81" s="23">
        <v>20</v>
      </c>
      <c r="BS81">
        <v>20</v>
      </c>
      <c r="CB81" s="57"/>
      <c r="CC81" s="57"/>
      <c r="CD81" s="57"/>
      <c r="CE81" s="57"/>
      <c r="CF81" s="58"/>
      <c r="CG81">
        <v>13.5</v>
      </c>
      <c r="CH81">
        <v>13.5</v>
      </c>
      <c r="CU81" s="24"/>
      <c r="CV81">
        <v>1</v>
      </c>
      <c r="CW81">
        <v>1</v>
      </c>
      <c r="DK81" s="15"/>
      <c r="DL81" s="15"/>
    </row>
    <row r="82" spans="2:116" ht="15.75" customHeight="1">
      <c r="Q82" s="53"/>
      <c r="R82" s="53"/>
      <c r="BC82" s="40" t="s">
        <v>294</v>
      </c>
      <c r="BD82">
        <v>690</v>
      </c>
      <c r="BE82">
        <v>47.8</v>
      </c>
      <c r="BF82">
        <v>39.799999999999997</v>
      </c>
      <c r="BG82">
        <v>-0.25</v>
      </c>
      <c r="BH82" s="12">
        <v>17.34</v>
      </c>
      <c r="BI82" s="12">
        <v>18.3</v>
      </c>
      <c r="BJ82" s="12"/>
      <c r="BK82" s="12"/>
      <c r="BM82" t="s">
        <v>295</v>
      </c>
      <c r="BN82">
        <v>7.5</v>
      </c>
      <c r="BO82">
        <f>Table_2[[#This Row],[Pnom]]*2*1000</f>
        <v>15000</v>
      </c>
      <c r="BP82">
        <v>600</v>
      </c>
      <c r="BQ82">
        <v>50</v>
      </c>
      <c r="BR82" s="13">
        <v>20</v>
      </c>
      <c r="BS82">
        <v>20</v>
      </c>
      <c r="BT82">
        <v>20</v>
      </c>
      <c r="CF82" s="14"/>
      <c r="CG82">
        <v>16</v>
      </c>
      <c r="CH82">
        <v>16</v>
      </c>
      <c r="CI82">
        <v>16</v>
      </c>
      <c r="CU82" s="14"/>
      <c r="CV82">
        <v>1</v>
      </c>
      <c r="CW82">
        <v>1</v>
      </c>
      <c r="CX82">
        <v>1</v>
      </c>
      <c r="DK82" s="25"/>
      <c r="DL82" s="25"/>
    </row>
    <row r="83" spans="2:116" ht="15.75" customHeight="1">
      <c r="B83" s="51" t="s">
        <v>296</v>
      </c>
      <c r="C83" s="51">
        <f>VLOOKUP($B$14,$BM$3:$DH$315,21,0)</f>
        <v>32</v>
      </c>
      <c r="D83" t="s">
        <v>92</v>
      </c>
      <c r="Q83" s="53"/>
      <c r="R83" s="53"/>
      <c r="BC83" t="s">
        <v>297</v>
      </c>
      <c r="BD83" s="12">
        <v>445</v>
      </c>
      <c r="BE83" s="12">
        <v>49.4</v>
      </c>
      <c r="BF83" s="12">
        <v>41.2</v>
      </c>
      <c r="BG83" s="12">
        <v>-0.28399999999999997</v>
      </c>
      <c r="BH83" s="12">
        <v>10.8</v>
      </c>
      <c r="BI83" s="12">
        <v>11.52</v>
      </c>
      <c r="BJ83" s="12"/>
      <c r="BK83" s="12"/>
      <c r="BM83" t="s">
        <v>298</v>
      </c>
      <c r="BN83">
        <v>75</v>
      </c>
      <c r="BO83">
        <v>150000</v>
      </c>
      <c r="BP83">
        <v>750</v>
      </c>
      <c r="BQ83">
        <v>160</v>
      </c>
      <c r="BR83" s="13">
        <v>66</v>
      </c>
      <c r="BS83">
        <v>66</v>
      </c>
      <c r="BT83">
        <v>66</v>
      </c>
      <c r="BU83">
        <v>66</v>
      </c>
      <c r="BV83">
        <v>66</v>
      </c>
      <c r="BW83">
        <v>66</v>
      </c>
      <c r="BX83">
        <v>66</v>
      </c>
      <c r="CF83" s="14"/>
      <c r="CG83">
        <v>48</v>
      </c>
      <c r="CH83">
        <v>48</v>
      </c>
      <c r="CI83">
        <v>48</v>
      </c>
      <c r="CJ83">
        <v>48</v>
      </c>
      <c r="CK83">
        <v>48</v>
      </c>
      <c r="CL83">
        <v>48</v>
      </c>
      <c r="CM83">
        <v>48</v>
      </c>
      <c r="CU83" s="14"/>
      <c r="CV83">
        <v>3</v>
      </c>
      <c r="CW83">
        <v>3</v>
      </c>
      <c r="CX83">
        <v>3</v>
      </c>
      <c r="CY83">
        <v>3</v>
      </c>
      <c r="CZ83">
        <v>3</v>
      </c>
      <c r="DA83">
        <v>3</v>
      </c>
      <c r="DB83">
        <v>3</v>
      </c>
      <c r="DK83" s="15"/>
      <c r="DL83" s="15"/>
    </row>
    <row r="84" spans="2:116" ht="15.75" customHeight="1">
      <c r="B84" s="51" t="s">
        <v>299</v>
      </c>
      <c r="C84" s="51">
        <f>VLOOKUP($B$14,$BM$3:$DH$315,22,0)</f>
        <v>20</v>
      </c>
      <c r="D84" t="s">
        <v>92</v>
      </c>
      <c r="Q84" s="53"/>
      <c r="R84" s="53"/>
      <c r="BC84" t="s">
        <v>300</v>
      </c>
      <c r="BD84" s="12">
        <v>450</v>
      </c>
      <c r="BE84" s="12">
        <v>49.6</v>
      </c>
      <c r="BF84" s="12">
        <v>41.4</v>
      </c>
      <c r="BG84" s="12">
        <v>-0.28399999999999997</v>
      </c>
      <c r="BH84" s="12">
        <v>10.87</v>
      </c>
      <c r="BI84" s="12">
        <v>11.58</v>
      </c>
      <c r="BJ84" s="12"/>
      <c r="BK84" s="12"/>
      <c r="BM84" t="s">
        <v>301</v>
      </c>
      <c r="BN84">
        <v>75</v>
      </c>
      <c r="BO84">
        <f>2*$BN84*1000</f>
        <v>150000</v>
      </c>
      <c r="BP84">
        <v>1100</v>
      </c>
      <c r="BQ84">
        <v>540</v>
      </c>
      <c r="BR84" s="23">
        <v>40</v>
      </c>
      <c r="BS84">
        <v>40</v>
      </c>
      <c r="BT84">
        <v>40</v>
      </c>
      <c r="BU84">
        <v>40</v>
      </c>
      <c r="BV84">
        <v>40</v>
      </c>
      <c r="BW84">
        <v>40</v>
      </c>
      <c r="BX84">
        <v>40</v>
      </c>
      <c r="BY84">
        <v>40</v>
      </c>
      <c r="BZ84">
        <v>40</v>
      </c>
      <c r="CA84">
        <v>40</v>
      </c>
      <c r="CF84" s="24"/>
      <c r="CG84">
        <v>26</v>
      </c>
      <c r="CH84">
        <v>26</v>
      </c>
      <c r="CI84">
        <v>26</v>
      </c>
      <c r="CJ84">
        <v>26</v>
      </c>
      <c r="CK84">
        <v>26</v>
      </c>
      <c r="CL84">
        <v>26</v>
      </c>
      <c r="CM84">
        <v>26</v>
      </c>
      <c r="CN84">
        <v>26</v>
      </c>
      <c r="CO84">
        <v>26</v>
      </c>
      <c r="CP84">
        <v>26</v>
      </c>
      <c r="CU84" s="24"/>
      <c r="CV84">
        <v>2</v>
      </c>
      <c r="CW84">
        <v>2</v>
      </c>
      <c r="CX84">
        <v>2</v>
      </c>
      <c r="CY84">
        <v>2</v>
      </c>
      <c r="CZ84">
        <v>2</v>
      </c>
      <c r="DA84">
        <v>2</v>
      </c>
      <c r="DB84">
        <v>2</v>
      </c>
      <c r="DC84">
        <v>2</v>
      </c>
      <c r="DD84">
        <v>2</v>
      </c>
      <c r="DE84">
        <v>2</v>
      </c>
      <c r="DK84" s="25">
        <v>107281</v>
      </c>
      <c r="DL84" s="25" t="s">
        <v>516</v>
      </c>
    </row>
    <row r="85" spans="2:116" ht="15.75" customHeight="1">
      <c r="B85" s="51" t="s">
        <v>302</v>
      </c>
      <c r="C85" s="51">
        <f>VLOOKUP($B$14,$BM$3:$DH$315,23,0)</f>
        <v>0</v>
      </c>
      <c r="D85" t="s">
        <v>92</v>
      </c>
      <c r="Q85" s="53"/>
      <c r="R85" s="53"/>
      <c r="BC85" t="s">
        <v>303</v>
      </c>
      <c r="BD85" s="12">
        <v>455</v>
      </c>
      <c r="BE85" s="12">
        <v>49.8</v>
      </c>
      <c r="BF85" s="12">
        <v>41.6</v>
      </c>
      <c r="BG85" s="12">
        <v>-0.28399999999999997</v>
      </c>
      <c r="BH85" s="12">
        <v>10.93</v>
      </c>
      <c r="BI85" s="12">
        <v>11.65</v>
      </c>
      <c r="BJ85" s="12"/>
      <c r="BK85" s="12"/>
      <c r="BM85" t="s">
        <v>304</v>
      </c>
      <c r="BN85">
        <v>75</v>
      </c>
      <c r="BO85">
        <f>$BN85*1000*1.5</f>
        <v>112500</v>
      </c>
      <c r="BP85">
        <v>1100</v>
      </c>
      <c r="BQ85">
        <v>540</v>
      </c>
      <c r="BR85" s="23">
        <v>40</v>
      </c>
      <c r="BS85">
        <v>40</v>
      </c>
      <c r="BT85">
        <v>40</v>
      </c>
      <c r="BU85">
        <v>40</v>
      </c>
      <c r="BV85">
        <v>40</v>
      </c>
      <c r="BW85">
        <v>40</v>
      </c>
      <c r="BX85">
        <v>40</v>
      </c>
      <c r="BY85">
        <v>40</v>
      </c>
      <c r="BZ85">
        <v>40</v>
      </c>
      <c r="CA85">
        <v>40</v>
      </c>
      <c r="CF85" s="24"/>
      <c r="CG85">
        <v>26</v>
      </c>
      <c r="CH85">
        <v>26</v>
      </c>
      <c r="CI85">
        <v>26</v>
      </c>
      <c r="CJ85">
        <v>26</v>
      </c>
      <c r="CK85">
        <v>26</v>
      </c>
      <c r="CL85">
        <v>26</v>
      </c>
      <c r="CM85">
        <v>26</v>
      </c>
      <c r="CN85">
        <v>26</v>
      </c>
      <c r="CO85">
        <v>26</v>
      </c>
      <c r="CP85">
        <v>26</v>
      </c>
      <c r="CU85" s="24"/>
      <c r="CV85">
        <v>2</v>
      </c>
      <c r="CW85">
        <v>2</v>
      </c>
      <c r="CX85">
        <v>2</v>
      </c>
      <c r="CY85">
        <v>2</v>
      </c>
      <c r="CZ85">
        <v>2</v>
      </c>
      <c r="DA85">
        <v>2</v>
      </c>
      <c r="DB85">
        <v>2</v>
      </c>
      <c r="DC85">
        <v>2</v>
      </c>
      <c r="DD85">
        <v>2</v>
      </c>
      <c r="DE85">
        <v>2</v>
      </c>
      <c r="DK85" s="15"/>
      <c r="DL85" s="15"/>
    </row>
    <row r="86" spans="2:116" ht="15.75" customHeight="1">
      <c r="B86" s="51" t="s">
        <v>305</v>
      </c>
      <c r="C86" s="51">
        <f>VLOOKUP($B$14,$BM$3:$DH$315,24,0)</f>
        <v>0</v>
      </c>
      <c r="D86" t="s">
        <v>92</v>
      </c>
      <c r="Q86" s="53"/>
      <c r="R86" s="53"/>
      <c r="BC86" t="s">
        <v>306</v>
      </c>
      <c r="BD86">
        <v>440</v>
      </c>
      <c r="BE86">
        <v>49.6</v>
      </c>
      <c r="BF86">
        <v>41</v>
      </c>
      <c r="BG86">
        <v>-0.28599999999999998</v>
      </c>
      <c r="BH86" s="12">
        <v>10.74</v>
      </c>
      <c r="BI86" s="12">
        <v>11.33</v>
      </c>
      <c r="BJ86" s="12"/>
      <c r="BK86" s="12"/>
      <c r="BM86" t="s">
        <v>307</v>
      </c>
      <c r="BN86">
        <v>8</v>
      </c>
      <c r="BO86">
        <f>$BN86*1.7*1000</f>
        <v>13600</v>
      </c>
      <c r="BP86">
        <v>600</v>
      </c>
      <c r="BQ86">
        <v>260</v>
      </c>
      <c r="BR86" s="23">
        <v>20</v>
      </c>
      <c r="BS86">
        <v>20</v>
      </c>
      <c r="BT86">
        <v>20</v>
      </c>
      <c r="CB86" s="33"/>
      <c r="CC86" s="33"/>
      <c r="CD86" s="33"/>
      <c r="CE86" s="33"/>
      <c r="CF86" s="34"/>
      <c r="CG86">
        <v>15</v>
      </c>
      <c r="CH86">
        <v>15</v>
      </c>
      <c r="CI86">
        <v>15</v>
      </c>
      <c r="CU86" s="24"/>
      <c r="CV86">
        <v>1</v>
      </c>
      <c r="CW86">
        <v>1</v>
      </c>
      <c r="CX86">
        <v>1</v>
      </c>
      <c r="CY86" s="59"/>
      <c r="CZ86" s="59"/>
      <c r="DA86" s="59"/>
      <c r="DB86" s="59"/>
      <c r="DC86" s="59"/>
      <c r="DD86" s="59"/>
      <c r="DE86" s="59"/>
      <c r="DF86" s="59"/>
      <c r="DG86" s="59"/>
      <c r="DH86" s="59"/>
      <c r="DK86" s="25"/>
      <c r="DL86" s="25"/>
    </row>
    <row r="87" spans="2:116" ht="15.75" customHeight="1">
      <c r="B87" s="51" t="s">
        <v>308</v>
      </c>
      <c r="C87" s="51">
        <f>VLOOKUP($B$14,$BM$3:$DH$315,25,0)</f>
        <v>0</v>
      </c>
      <c r="D87" t="s">
        <v>92</v>
      </c>
      <c r="Q87" s="53"/>
      <c r="R87" s="53"/>
      <c r="BC87" s="40" t="s">
        <v>309</v>
      </c>
      <c r="BD87">
        <v>555</v>
      </c>
      <c r="BE87">
        <v>50.3</v>
      </c>
      <c r="BF87">
        <v>42.27</v>
      </c>
      <c r="BG87">
        <v>-0.28499999999999998</v>
      </c>
      <c r="BH87" s="12">
        <v>13.13</v>
      </c>
      <c r="BI87" s="12">
        <v>14.1</v>
      </c>
      <c r="BJ87" s="12"/>
      <c r="BK87" s="12"/>
      <c r="BM87" t="s">
        <v>310</v>
      </c>
      <c r="BN87">
        <v>8</v>
      </c>
      <c r="BO87">
        <f>$BN87*1000*1.5</f>
        <v>12000</v>
      </c>
      <c r="BP87">
        <v>600</v>
      </c>
      <c r="BQ87">
        <v>260</v>
      </c>
      <c r="BR87" s="23">
        <v>20</v>
      </c>
      <c r="BS87">
        <v>20</v>
      </c>
      <c r="BT87">
        <v>20</v>
      </c>
      <c r="CB87" s="33"/>
      <c r="CC87" s="33"/>
      <c r="CD87" s="33"/>
      <c r="CE87" s="33"/>
      <c r="CF87" s="34"/>
      <c r="CG87">
        <v>15</v>
      </c>
      <c r="CH87">
        <v>15</v>
      </c>
      <c r="CI87">
        <v>15</v>
      </c>
      <c r="CU87" s="24"/>
      <c r="CV87">
        <v>1</v>
      </c>
      <c r="CW87">
        <v>1</v>
      </c>
      <c r="CX87">
        <v>1</v>
      </c>
      <c r="CY87" s="59"/>
      <c r="CZ87" s="59"/>
      <c r="DA87" s="59"/>
      <c r="DB87" s="59"/>
      <c r="DC87" s="59"/>
      <c r="DD87" s="59"/>
      <c r="DE87" s="59"/>
      <c r="DF87" s="59"/>
      <c r="DG87" s="59"/>
      <c r="DH87" s="59"/>
      <c r="DK87" s="15"/>
      <c r="DL87" s="15"/>
    </row>
    <row r="88" spans="2:116" ht="15.75" customHeight="1">
      <c r="B88" s="51" t="s">
        <v>311</v>
      </c>
      <c r="C88" s="51">
        <f>VLOOKUP($B$14,$BM$3:$DH$315,26,0)</f>
        <v>0</v>
      </c>
      <c r="D88" t="s">
        <v>92</v>
      </c>
      <c r="Q88" s="53"/>
      <c r="R88" s="53"/>
      <c r="BC88" t="s">
        <v>312</v>
      </c>
      <c r="BD88" s="12">
        <v>610</v>
      </c>
      <c r="BE88" s="12">
        <v>48.63</v>
      </c>
      <c r="BF88" s="12">
        <v>40.56</v>
      </c>
      <c r="BG88" s="12">
        <v>-0.26</v>
      </c>
      <c r="BH88" s="12">
        <v>15.04</v>
      </c>
      <c r="BI88" s="12">
        <v>16.010000000000002</v>
      </c>
      <c r="BJ88" s="12"/>
      <c r="BK88" s="12"/>
      <c r="BM88" t="s">
        <v>313</v>
      </c>
      <c r="BN88">
        <v>3.6</v>
      </c>
      <c r="BO88">
        <v>7200</v>
      </c>
      <c r="BP88">
        <v>600</v>
      </c>
      <c r="BQ88">
        <v>40</v>
      </c>
      <c r="BR88" s="13">
        <v>25</v>
      </c>
      <c r="CF88" s="14"/>
      <c r="CG88">
        <v>20</v>
      </c>
      <c r="CH88">
        <v>20</v>
      </c>
      <c r="CU88" s="14"/>
      <c r="CV88">
        <v>1</v>
      </c>
      <c r="DK88" s="25"/>
      <c r="DL88" s="25"/>
    </row>
    <row r="89" spans="2:116" ht="15.75" customHeight="1">
      <c r="B89" s="51" t="s">
        <v>314</v>
      </c>
      <c r="C89" s="51">
        <f>VLOOKUP($B$14,$BM$3:$DH$315,27,0)</f>
        <v>0</v>
      </c>
      <c r="D89" t="s">
        <v>92</v>
      </c>
      <c r="Q89" s="53"/>
      <c r="R89" s="53"/>
      <c r="BC89" t="s">
        <v>315</v>
      </c>
      <c r="BD89" s="12">
        <v>610</v>
      </c>
      <c r="BE89" s="12">
        <v>52.55</v>
      </c>
      <c r="BF89" s="12">
        <v>44.11</v>
      </c>
      <c r="BG89">
        <v>-0.25</v>
      </c>
      <c r="BH89" s="12">
        <v>13.83</v>
      </c>
      <c r="BI89" s="12">
        <v>14.69</v>
      </c>
      <c r="BJ89" s="12"/>
      <c r="BK89" s="12"/>
      <c r="BM89" t="s">
        <v>316</v>
      </c>
      <c r="BN89">
        <v>5.5</v>
      </c>
      <c r="BO89">
        <v>8000</v>
      </c>
      <c r="BP89">
        <v>600</v>
      </c>
      <c r="BQ89">
        <v>80</v>
      </c>
      <c r="BR89" s="13">
        <v>24</v>
      </c>
      <c r="BS89">
        <v>24</v>
      </c>
      <c r="CF89" s="14"/>
      <c r="CG89">
        <v>18</v>
      </c>
      <c r="CH89">
        <v>18</v>
      </c>
      <c r="CU89" s="14"/>
      <c r="CV89">
        <v>1</v>
      </c>
      <c r="CW89">
        <v>1</v>
      </c>
      <c r="DK89" s="15"/>
      <c r="DL89" s="15"/>
    </row>
    <row r="90" spans="2:116" ht="15.75" customHeight="1">
      <c r="B90" s="51" t="s">
        <v>317</v>
      </c>
      <c r="C90" s="51">
        <f>VLOOKUP($B$14,$BM$3:$DH$315,28,0)</f>
        <v>0</v>
      </c>
      <c r="D90" t="s">
        <v>92</v>
      </c>
      <c r="Q90" s="53"/>
      <c r="R90" s="53"/>
      <c r="BC90" t="s">
        <v>318</v>
      </c>
      <c r="BD90">
        <v>460</v>
      </c>
      <c r="BE90">
        <v>41.8</v>
      </c>
      <c r="BF90">
        <v>35.11</v>
      </c>
      <c r="BG90">
        <v>-0.28000000000000003</v>
      </c>
      <c r="BH90" s="12">
        <v>13.11</v>
      </c>
      <c r="BI90" s="12">
        <v>13.93</v>
      </c>
      <c r="BJ90" s="12"/>
      <c r="BK90" s="12"/>
      <c r="BM90" t="s">
        <v>319</v>
      </c>
      <c r="BN90">
        <v>6.6</v>
      </c>
      <c r="BO90">
        <v>9600</v>
      </c>
      <c r="BP90">
        <v>600</v>
      </c>
      <c r="BQ90">
        <v>80</v>
      </c>
      <c r="BR90" s="13">
        <v>24</v>
      </c>
      <c r="BS90">
        <v>24</v>
      </c>
      <c r="CF90" s="14"/>
      <c r="CG90">
        <v>18</v>
      </c>
      <c r="CH90">
        <v>18</v>
      </c>
      <c r="CU90" s="14"/>
      <c r="CV90">
        <v>1</v>
      </c>
      <c r="CW90">
        <v>1</v>
      </c>
      <c r="DK90" s="25"/>
      <c r="DL90" s="25"/>
    </row>
    <row r="91" spans="2:116" ht="15.75" customHeight="1">
      <c r="B91" s="51" t="s">
        <v>320</v>
      </c>
      <c r="C91" s="51">
        <f>VLOOKUP($B$14,$BM$3:$DH$315,29,0)</f>
        <v>0</v>
      </c>
      <c r="D91" t="s">
        <v>92</v>
      </c>
      <c r="Q91" s="53"/>
      <c r="R91" s="53"/>
      <c r="BC91" s="12" t="s">
        <v>321</v>
      </c>
      <c r="BD91">
        <v>605</v>
      </c>
      <c r="BE91">
        <v>47.39</v>
      </c>
      <c r="BF91">
        <v>39.799999999999997</v>
      </c>
      <c r="BG91" s="12">
        <v>-0.25</v>
      </c>
      <c r="BH91">
        <v>15.2</v>
      </c>
      <c r="BI91">
        <v>16.16</v>
      </c>
      <c r="BJ91">
        <v>228604</v>
      </c>
      <c r="BK91" t="s">
        <v>516</v>
      </c>
      <c r="BM91" t="s">
        <v>322</v>
      </c>
      <c r="BN91">
        <v>7.3</v>
      </c>
      <c r="BO91">
        <v>12000</v>
      </c>
      <c r="BP91">
        <v>600</v>
      </c>
      <c r="BQ91">
        <v>80</v>
      </c>
      <c r="BR91" s="13">
        <v>24</v>
      </c>
      <c r="BS91">
        <v>24</v>
      </c>
      <c r="CF91" s="14"/>
      <c r="CG91">
        <v>18</v>
      </c>
      <c r="CH91">
        <v>18</v>
      </c>
      <c r="CU91" s="14"/>
      <c r="CV91">
        <v>1</v>
      </c>
      <c r="CW91">
        <v>1</v>
      </c>
      <c r="DK91" s="31"/>
      <c r="DL91" s="31"/>
    </row>
    <row r="92" spans="2:116" ht="15.75" customHeight="1">
      <c r="B92" s="51" t="s">
        <v>323</v>
      </c>
      <c r="C92" s="51">
        <f>VLOOKUP($B$14,$BM$3:$DH$315,30,0)</f>
        <v>0</v>
      </c>
      <c r="D92" t="s">
        <v>92</v>
      </c>
      <c r="Q92" s="53"/>
      <c r="R92" s="53"/>
      <c r="BC92" t="s">
        <v>324</v>
      </c>
      <c r="BD92" s="12">
        <v>700</v>
      </c>
      <c r="BE92">
        <v>49.77</v>
      </c>
      <c r="BF92">
        <v>41.78</v>
      </c>
      <c r="BG92" s="12">
        <v>-0.22</v>
      </c>
      <c r="BH92" s="12">
        <v>16.760000000000002</v>
      </c>
      <c r="BI92" s="12">
        <v>17.809999999999999</v>
      </c>
      <c r="BJ92" s="12"/>
      <c r="BK92" s="12"/>
      <c r="BM92" t="s">
        <v>325</v>
      </c>
      <c r="BN92">
        <v>5</v>
      </c>
      <c r="BO92">
        <v>10000</v>
      </c>
      <c r="BP92">
        <v>560</v>
      </c>
      <c r="BQ92">
        <v>50</v>
      </c>
      <c r="BR92" s="23">
        <v>30</v>
      </c>
      <c r="BS92">
        <v>30</v>
      </c>
      <c r="CF92" s="24"/>
      <c r="CG92" s="33">
        <v>20</v>
      </c>
      <c r="CH92" s="33">
        <v>20</v>
      </c>
      <c r="CI92" s="33"/>
      <c r="CJ92" s="33"/>
      <c r="CK92" s="33"/>
      <c r="CL92" s="33"/>
      <c r="CM92" s="33"/>
      <c r="CN92" s="33"/>
      <c r="CO92" s="33"/>
      <c r="CP92" s="33"/>
      <c r="CQ92" s="33"/>
      <c r="CR92" s="33"/>
      <c r="CS92" s="33"/>
      <c r="CT92" s="33"/>
      <c r="CU92" s="34"/>
      <c r="CV92">
        <v>1</v>
      </c>
      <c r="CW92">
        <v>1</v>
      </c>
      <c r="DK92" s="25"/>
      <c r="DL92" s="25"/>
    </row>
    <row r="93" spans="2:116" ht="15.75" customHeight="1">
      <c r="B93" s="51" t="s">
        <v>326</v>
      </c>
      <c r="C93" s="51">
        <f>VLOOKUP($B$14,$BM$3:$DH$315,31,0)</f>
        <v>0</v>
      </c>
      <c r="D93" t="s">
        <v>92</v>
      </c>
      <c r="Q93" s="53"/>
      <c r="R93" s="53"/>
      <c r="BC93" s="40" t="s">
        <v>327</v>
      </c>
      <c r="BD93">
        <v>560</v>
      </c>
      <c r="BE93">
        <v>50.1</v>
      </c>
      <c r="BF93">
        <v>42.25</v>
      </c>
      <c r="BG93">
        <v>-0.27</v>
      </c>
      <c r="BH93" s="12">
        <v>13.25</v>
      </c>
      <c r="BI93" s="12">
        <v>14.01</v>
      </c>
      <c r="BJ93" s="12"/>
      <c r="BK93" s="12"/>
      <c r="BM93" t="s">
        <v>328</v>
      </c>
      <c r="BN93">
        <v>7.5</v>
      </c>
      <c r="BO93">
        <v>15000</v>
      </c>
      <c r="BP93">
        <v>560</v>
      </c>
      <c r="BQ93">
        <v>50</v>
      </c>
      <c r="BR93" s="23">
        <v>30</v>
      </c>
      <c r="BS93">
        <v>30</v>
      </c>
      <c r="CF93" s="24"/>
      <c r="CG93">
        <v>20</v>
      </c>
      <c r="CH93">
        <v>20</v>
      </c>
      <c r="CU93" s="24"/>
      <c r="CV93">
        <v>1</v>
      </c>
      <c r="CW93">
        <v>1</v>
      </c>
      <c r="DK93" s="15"/>
      <c r="DL93" s="15"/>
    </row>
    <row r="94" spans="2:116" ht="15.75" customHeight="1">
      <c r="B94" s="51" t="s">
        <v>329</v>
      </c>
      <c r="C94" s="51">
        <f>VLOOKUP($B$14,$BM$3:$DH$315,32,0)</f>
        <v>0</v>
      </c>
      <c r="D94" t="s">
        <v>92</v>
      </c>
      <c r="Q94" s="53"/>
      <c r="R94" s="53"/>
      <c r="BC94" t="s">
        <v>330</v>
      </c>
      <c r="BD94">
        <v>545</v>
      </c>
      <c r="BE94">
        <v>49.75</v>
      </c>
      <c r="BF94">
        <v>41.8</v>
      </c>
      <c r="BG94">
        <v>-0.32</v>
      </c>
      <c r="BH94" s="12">
        <v>13.04</v>
      </c>
      <c r="BI94" s="12">
        <v>13.93</v>
      </c>
      <c r="BJ94" s="12"/>
      <c r="BK94" s="12"/>
      <c r="BM94" t="s">
        <v>331</v>
      </c>
      <c r="BN94">
        <v>2.2000000000000002</v>
      </c>
      <c r="BO94">
        <f>$BN94*1.6*1000+200</f>
        <v>3720.0000000000005</v>
      </c>
      <c r="BP94">
        <v>550</v>
      </c>
      <c r="BQ94">
        <v>70</v>
      </c>
      <c r="BR94" s="39">
        <v>20</v>
      </c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4"/>
      <c r="CG94" s="33">
        <v>14</v>
      </c>
      <c r="CH94" s="33"/>
      <c r="CI94" s="33"/>
      <c r="CJ94" s="33"/>
      <c r="CK94" s="33"/>
      <c r="CL94" s="33"/>
      <c r="CM94" s="33"/>
      <c r="CN94" s="33"/>
      <c r="CO94" s="33"/>
      <c r="CP94" s="33"/>
      <c r="CQ94" s="33"/>
      <c r="CR94" s="33"/>
      <c r="CS94" s="33"/>
      <c r="CT94" s="33"/>
      <c r="CU94" s="34"/>
      <c r="CV94">
        <v>1</v>
      </c>
      <c r="DK94" s="25"/>
      <c r="DL94" s="25"/>
    </row>
    <row r="95" spans="2:116" ht="15.75" customHeight="1">
      <c r="B95" s="51" t="s">
        <v>332</v>
      </c>
      <c r="C95" s="51">
        <f>VLOOKUP($B$14,$BM$3:$DH$315,33,0)</f>
        <v>0</v>
      </c>
      <c r="D95" t="s">
        <v>92</v>
      </c>
      <c r="Q95" s="53"/>
      <c r="R95" s="53"/>
      <c r="BC95" t="s">
        <v>333</v>
      </c>
      <c r="BD95" s="12">
        <v>700</v>
      </c>
      <c r="BE95">
        <v>49.83</v>
      </c>
      <c r="BF95">
        <v>41.78</v>
      </c>
      <c r="BG95" s="12">
        <v>-0.22</v>
      </c>
      <c r="BH95" s="12">
        <v>16.77</v>
      </c>
      <c r="BI95" s="12">
        <v>17.82</v>
      </c>
      <c r="BJ95" s="12"/>
      <c r="BK95" s="12"/>
      <c r="BM95" t="s">
        <v>334</v>
      </c>
      <c r="BN95">
        <v>10</v>
      </c>
      <c r="BO95">
        <v>15000</v>
      </c>
      <c r="BP95">
        <v>550</v>
      </c>
      <c r="BQ95">
        <v>90</v>
      </c>
      <c r="BR95" s="39">
        <v>30</v>
      </c>
      <c r="BS95" s="33">
        <v>15</v>
      </c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4"/>
      <c r="CG95" s="33">
        <v>26</v>
      </c>
      <c r="CH95" s="33">
        <v>13</v>
      </c>
      <c r="CI95" s="33"/>
      <c r="CJ95" s="33"/>
      <c r="CK95" s="33"/>
      <c r="CL95" s="33"/>
      <c r="CM95" s="33"/>
      <c r="CN95" s="33"/>
      <c r="CO95" s="33"/>
      <c r="CP95" s="33"/>
      <c r="CQ95" s="33"/>
      <c r="CR95" s="33"/>
      <c r="CS95" s="33"/>
      <c r="CT95" s="33"/>
      <c r="CU95" s="34"/>
      <c r="CV95">
        <v>2</v>
      </c>
      <c r="CW95">
        <v>1</v>
      </c>
      <c r="DK95" s="15"/>
      <c r="DL95" s="15"/>
    </row>
    <row r="96" spans="2:116" ht="15.75" customHeight="1">
      <c r="B96" s="51" t="s">
        <v>335</v>
      </c>
      <c r="C96" s="51">
        <f>VLOOKUP($B$14,$BM$3:$DH$315,34,0)</f>
        <v>0</v>
      </c>
      <c r="D96" t="s">
        <v>92</v>
      </c>
      <c r="Q96" s="53"/>
      <c r="R96" s="53"/>
      <c r="BC96" t="s">
        <v>336</v>
      </c>
      <c r="BD96" s="12">
        <v>570</v>
      </c>
      <c r="BE96" s="12">
        <v>51.07</v>
      </c>
      <c r="BF96" s="12">
        <v>42.29</v>
      </c>
      <c r="BG96" s="12">
        <v>-0.25</v>
      </c>
      <c r="BH96" s="12">
        <v>13.48</v>
      </c>
      <c r="BI96" s="12">
        <v>14.25</v>
      </c>
      <c r="BJ96" s="12"/>
      <c r="BK96" s="12"/>
      <c r="BM96" t="s">
        <v>337</v>
      </c>
      <c r="BN96">
        <v>10</v>
      </c>
      <c r="BO96">
        <v>15000</v>
      </c>
      <c r="BP96">
        <v>600</v>
      </c>
      <c r="BQ96">
        <v>90</v>
      </c>
      <c r="BR96" s="23">
        <v>20</v>
      </c>
      <c r="BS96">
        <v>20</v>
      </c>
      <c r="BT96">
        <v>20</v>
      </c>
      <c r="CF96" s="24"/>
      <c r="CG96">
        <v>16</v>
      </c>
      <c r="CH96">
        <v>16</v>
      </c>
      <c r="CI96">
        <v>16</v>
      </c>
      <c r="CU96" s="24"/>
      <c r="CV96">
        <v>1</v>
      </c>
      <c r="CW96">
        <v>1</v>
      </c>
      <c r="CX96">
        <v>1</v>
      </c>
      <c r="DK96" s="25"/>
      <c r="DL96" s="25"/>
    </row>
    <row r="97" spans="1:116" ht="15.75" customHeight="1">
      <c r="B97" s="51" t="s">
        <v>338</v>
      </c>
      <c r="C97" s="51">
        <f>VLOOKUP($B$14,$BM$3:$DH$315,35,0)</f>
        <v>0</v>
      </c>
      <c r="D97" t="s">
        <v>92</v>
      </c>
      <c r="Q97" s="53"/>
      <c r="R97" s="53"/>
      <c r="BC97" t="s">
        <v>336</v>
      </c>
      <c r="BD97">
        <v>570</v>
      </c>
      <c r="BE97">
        <v>51.07</v>
      </c>
      <c r="BF97">
        <v>42.29</v>
      </c>
      <c r="BG97">
        <v>-0.25</v>
      </c>
      <c r="BH97">
        <v>13.48</v>
      </c>
      <c r="BI97">
        <v>14.25</v>
      </c>
      <c r="BM97" t="s">
        <v>339</v>
      </c>
      <c r="BN97">
        <v>3.3</v>
      </c>
      <c r="BO97">
        <f>$BN97*1.6*1000+200</f>
        <v>5480</v>
      </c>
      <c r="BP97">
        <v>550</v>
      </c>
      <c r="BQ97">
        <v>70</v>
      </c>
      <c r="BR97" s="39">
        <v>20</v>
      </c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4"/>
      <c r="CG97" s="33">
        <v>14</v>
      </c>
      <c r="CH97" s="33"/>
      <c r="CI97" s="33"/>
      <c r="CJ97" s="33"/>
      <c r="CK97" s="33"/>
      <c r="CL97" s="33"/>
      <c r="CM97" s="33"/>
      <c r="CN97" s="33"/>
      <c r="CO97" s="33"/>
      <c r="CP97" s="33"/>
      <c r="CQ97" s="33"/>
      <c r="CR97" s="33"/>
      <c r="CS97" s="33"/>
      <c r="CT97" s="33"/>
      <c r="CU97" s="34"/>
      <c r="CV97">
        <v>1</v>
      </c>
      <c r="DK97" s="31"/>
      <c r="DL97" s="31"/>
    </row>
    <row r="98" spans="1:116" ht="15.75" customHeight="1">
      <c r="BC98" s="12" t="s">
        <v>340</v>
      </c>
      <c r="BD98" s="12">
        <v>585</v>
      </c>
      <c r="BE98" s="12">
        <v>51.5</v>
      </c>
      <c r="BF98" s="12">
        <v>43.27</v>
      </c>
      <c r="BG98" s="12">
        <v>-0.25</v>
      </c>
      <c r="BH98" s="12">
        <v>13.52</v>
      </c>
      <c r="BI98" s="12">
        <v>14.45</v>
      </c>
      <c r="BJ98" s="12"/>
      <c r="BK98" s="12"/>
      <c r="BM98" t="s">
        <v>341</v>
      </c>
      <c r="BN98">
        <v>3</v>
      </c>
      <c r="BO98">
        <v>4950</v>
      </c>
      <c r="BP98">
        <v>600</v>
      </c>
      <c r="BQ98">
        <v>90</v>
      </c>
      <c r="BR98" s="39">
        <v>15</v>
      </c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4"/>
      <c r="CG98" s="33">
        <v>12.5</v>
      </c>
      <c r="CH98" s="33"/>
      <c r="CI98" s="33"/>
      <c r="CJ98" s="33"/>
      <c r="CK98" s="33"/>
      <c r="CL98" s="33"/>
      <c r="CM98" s="33"/>
      <c r="CN98" s="33"/>
      <c r="CO98" s="33"/>
      <c r="CP98" s="33"/>
      <c r="CQ98" s="33"/>
      <c r="CR98" s="33"/>
      <c r="CS98" s="33"/>
      <c r="CT98" s="33"/>
      <c r="CU98" s="34"/>
      <c r="CV98">
        <v>1</v>
      </c>
      <c r="DK98" s="25"/>
      <c r="DL98" s="25"/>
    </row>
    <row r="99" spans="1:116" ht="15.75" customHeight="1">
      <c r="BC99" t="s">
        <v>342</v>
      </c>
      <c r="BD99" s="12">
        <v>700</v>
      </c>
      <c r="BE99" s="12">
        <v>49.77</v>
      </c>
      <c r="BF99" s="12">
        <v>41.78</v>
      </c>
      <c r="BG99" s="12">
        <v>-0.25</v>
      </c>
      <c r="BH99" s="12">
        <v>16.760000000000002</v>
      </c>
      <c r="BI99" s="12">
        <v>17.809999999999999</v>
      </c>
      <c r="BJ99" s="12"/>
      <c r="BK99" s="12"/>
      <c r="BM99" t="s">
        <v>343</v>
      </c>
      <c r="BN99">
        <v>3</v>
      </c>
      <c r="BO99">
        <v>4950</v>
      </c>
      <c r="BP99">
        <v>500</v>
      </c>
      <c r="BQ99">
        <v>70</v>
      </c>
      <c r="BR99" s="39">
        <v>15</v>
      </c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4"/>
      <c r="CG99" s="33">
        <v>13</v>
      </c>
      <c r="CH99" s="33"/>
      <c r="CI99" s="33"/>
      <c r="CJ99" s="33"/>
      <c r="CK99" s="33"/>
      <c r="CL99" s="33"/>
      <c r="CM99" s="33"/>
      <c r="CN99" s="33"/>
      <c r="CO99" s="33"/>
      <c r="CP99" s="33"/>
      <c r="CQ99" s="33"/>
      <c r="CR99" s="33"/>
      <c r="CS99" s="33"/>
      <c r="CT99" s="33"/>
      <c r="CU99" s="34"/>
      <c r="CV99">
        <v>1</v>
      </c>
      <c r="DK99" s="15"/>
      <c r="DL99" s="15"/>
    </row>
    <row r="100" spans="1:116" ht="15.75" customHeight="1">
      <c r="BC100" s="40" t="s">
        <v>344</v>
      </c>
      <c r="BD100" s="12">
        <v>550</v>
      </c>
      <c r="BE100" s="12">
        <v>49.9</v>
      </c>
      <c r="BF100" s="12">
        <v>41.96</v>
      </c>
      <c r="BG100" s="12">
        <v>-0.26</v>
      </c>
      <c r="BH100" s="12">
        <v>13.11</v>
      </c>
      <c r="BI100" s="60">
        <v>14</v>
      </c>
      <c r="BJ100" s="60"/>
      <c r="BK100" s="60"/>
      <c r="BM100" t="s">
        <v>345</v>
      </c>
      <c r="BN100">
        <v>5</v>
      </c>
      <c r="BO100">
        <v>8250</v>
      </c>
      <c r="BP100">
        <v>600</v>
      </c>
      <c r="BQ100">
        <v>90</v>
      </c>
      <c r="BR100" s="39">
        <v>15</v>
      </c>
      <c r="BS100" s="33">
        <v>15</v>
      </c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4"/>
      <c r="CG100" s="33">
        <v>11</v>
      </c>
      <c r="CH100" s="33">
        <v>11</v>
      </c>
      <c r="CI100" s="33"/>
      <c r="CJ100" s="33"/>
      <c r="CK100" s="33"/>
      <c r="CL100" s="33"/>
      <c r="CM100" s="33"/>
      <c r="CN100" s="33"/>
      <c r="CO100" s="33"/>
      <c r="CP100" s="33"/>
      <c r="CQ100" s="33"/>
      <c r="CR100" s="33"/>
      <c r="CS100" s="33"/>
      <c r="CT100" s="33"/>
      <c r="CU100" s="34"/>
      <c r="CV100">
        <v>1</v>
      </c>
      <c r="CW100">
        <v>1</v>
      </c>
      <c r="DK100" s="61"/>
      <c r="DL100" s="61"/>
    </row>
    <row r="101" spans="1:116" ht="15.75" customHeight="1">
      <c r="BC101" s="40" t="s">
        <v>346</v>
      </c>
      <c r="BD101" s="12">
        <v>550</v>
      </c>
      <c r="BE101" s="12">
        <v>49.9</v>
      </c>
      <c r="BF101" s="12">
        <v>41.96</v>
      </c>
      <c r="BG101" s="12">
        <v>-0.26</v>
      </c>
      <c r="BH101" s="12">
        <v>13.11</v>
      </c>
      <c r="BI101" s="60">
        <v>14</v>
      </c>
      <c r="BJ101" s="60"/>
      <c r="BK101" s="60"/>
      <c r="BM101" t="s">
        <v>347</v>
      </c>
      <c r="BN101">
        <v>5</v>
      </c>
      <c r="BO101">
        <v>7500</v>
      </c>
      <c r="BP101">
        <v>600</v>
      </c>
      <c r="BQ101">
        <v>90</v>
      </c>
      <c r="BR101" s="23">
        <v>20</v>
      </c>
      <c r="BS101">
        <v>20</v>
      </c>
      <c r="CF101" s="24"/>
      <c r="CG101" s="33">
        <v>16</v>
      </c>
      <c r="CH101" s="33">
        <v>16</v>
      </c>
      <c r="CI101" s="33"/>
      <c r="CJ101" s="33"/>
      <c r="CK101" s="33"/>
      <c r="CL101" s="33"/>
      <c r="CM101" s="33"/>
      <c r="CN101" s="33"/>
      <c r="CO101" s="33"/>
      <c r="CP101" s="33"/>
      <c r="CQ101" s="33"/>
      <c r="CR101" s="33"/>
      <c r="CS101" s="33"/>
      <c r="CT101" s="33"/>
      <c r="CU101" s="34"/>
      <c r="CV101">
        <v>1</v>
      </c>
      <c r="CW101">
        <v>1</v>
      </c>
      <c r="DK101" s="62"/>
      <c r="DL101" s="62"/>
    </row>
    <row r="102" spans="1:116" ht="15.75" customHeight="1">
      <c r="A102" s="53" t="s">
        <v>348</v>
      </c>
      <c r="B102" s="53"/>
      <c r="C102" s="53" t="e">
        <f>IF(J2&gt;0,$C65/J2,0)</f>
        <v>#VALUE!</v>
      </c>
      <c r="D102" t="s">
        <v>92</v>
      </c>
      <c r="BC102" t="s">
        <v>349</v>
      </c>
      <c r="BD102">
        <v>560</v>
      </c>
      <c r="BE102">
        <v>51.1</v>
      </c>
      <c r="BF102">
        <v>42.4</v>
      </c>
      <c r="BG102">
        <v>-0.26</v>
      </c>
      <c r="BH102" s="12">
        <v>13.21</v>
      </c>
      <c r="BI102" s="12">
        <v>13.95</v>
      </c>
      <c r="BJ102" s="12"/>
      <c r="BK102" s="12"/>
      <c r="BM102" t="s">
        <v>350</v>
      </c>
      <c r="BN102">
        <v>5</v>
      </c>
      <c r="BO102">
        <v>8250</v>
      </c>
      <c r="BP102">
        <v>550</v>
      </c>
      <c r="BQ102">
        <v>90</v>
      </c>
      <c r="BR102" s="39">
        <v>15</v>
      </c>
      <c r="BS102" s="33">
        <v>15</v>
      </c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4"/>
      <c r="CG102" s="33">
        <v>13</v>
      </c>
      <c r="CH102" s="33">
        <v>13</v>
      </c>
      <c r="CI102" s="33"/>
      <c r="CJ102" s="33"/>
      <c r="CK102" s="33"/>
      <c r="CL102" s="33"/>
      <c r="CM102" s="33"/>
      <c r="CN102" s="33"/>
      <c r="CO102" s="33"/>
      <c r="CP102" s="33"/>
      <c r="CQ102" s="33"/>
      <c r="CR102" s="33"/>
      <c r="CS102" s="33"/>
      <c r="CT102" s="33"/>
      <c r="CU102" s="34"/>
      <c r="CV102">
        <v>1</v>
      </c>
      <c r="CW102">
        <v>1</v>
      </c>
      <c r="DK102" s="25"/>
      <c r="DL102" s="25"/>
    </row>
    <row r="103" spans="1:116" ht="15.75" customHeight="1">
      <c r="A103" s="53" t="s">
        <v>351</v>
      </c>
      <c r="B103" s="53"/>
      <c r="C103" s="53" t="e">
        <f>IF(M2&gt;0,$C66/M2,0)</f>
        <v>#REF!</v>
      </c>
      <c r="D103" t="s">
        <v>92</v>
      </c>
      <c r="BC103" t="s">
        <v>352</v>
      </c>
      <c r="BD103">
        <v>505</v>
      </c>
      <c r="BE103">
        <v>45.52</v>
      </c>
      <c r="BF103">
        <v>37.479999999999997</v>
      </c>
      <c r="BG103">
        <v>-0.28000000000000003</v>
      </c>
      <c r="BH103" s="12">
        <v>13.48</v>
      </c>
      <c r="BI103" s="12">
        <v>13.92</v>
      </c>
      <c r="BJ103" s="12"/>
      <c r="BK103" s="12"/>
      <c r="BM103" t="s">
        <v>353</v>
      </c>
      <c r="BN103">
        <v>6</v>
      </c>
      <c r="BO103">
        <v>9900</v>
      </c>
      <c r="BP103">
        <v>600</v>
      </c>
      <c r="BQ103">
        <v>90</v>
      </c>
      <c r="BR103" s="39">
        <v>15</v>
      </c>
      <c r="BS103" s="33">
        <v>15</v>
      </c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4"/>
      <c r="CG103" s="33">
        <v>11</v>
      </c>
      <c r="CH103" s="33">
        <v>11</v>
      </c>
      <c r="CI103" s="33"/>
      <c r="CJ103" s="33"/>
      <c r="CK103" s="33"/>
      <c r="CL103" s="33"/>
      <c r="CM103" s="33"/>
      <c r="CN103" s="33"/>
      <c r="CO103" s="33"/>
      <c r="CP103" s="33"/>
      <c r="CQ103" s="33"/>
      <c r="CR103" s="33"/>
      <c r="CS103" s="33"/>
      <c r="CT103" s="33"/>
      <c r="CU103" s="34"/>
      <c r="CV103">
        <v>1</v>
      </c>
      <c r="CW103">
        <v>1</v>
      </c>
      <c r="DK103" s="15"/>
      <c r="DL103" s="15"/>
    </row>
    <row r="104" spans="1:116" ht="15.75" customHeight="1">
      <c r="A104" s="53" t="s">
        <v>354</v>
      </c>
      <c r="B104" s="53"/>
      <c r="C104" s="53" t="e">
        <f>IF(P2&gt;0,$C67/P2,0)</f>
        <v>#REF!</v>
      </c>
      <c r="D104" t="s">
        <v>92</v>
      </c>
      <c r="BC104" t="s">
        <v>355</v>
      </c>
      <c r="BD104">
        <v>450</v>
      </c>
      <c r="BE104">
        <v>49.75</v>
      </c>
      <c r="BF104">
        <v>41</v>
      </c>
      <c r="BG104">
        <v>-0.33</v>
      </c>
      <c r="BH104" s="12">
        <v>10.98</v>
      </c>
      <c r="BI104" s="12">
        <v>11.55</v>
      </c>
      <c r="BJ104" s="12"/>
      <c r="BK104" s="12"/>
      <c r="BM104" t="s">
        <v>356</v>
      </c>
      <c r="BN104">
        <v>6</v>
      </c>
      <c r="BO104">
        <f>$BN104*1.6*1000+200</f>
        <v>9800.0000000000018</v>
      </c>
      <c r="BP104">
        <v>550</v>
      </c>
      <c r="BQ104">
        <v>90</v>
      </c>
      <c r="BR104" s="39">
        <v>20</v>
      </c>
      <c r="BS104" s="33">
        <v>20</v>
      </c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4"/>
      <c r="CG104" s="33">
        <v>14</v>
      </c>
      <c r="CH104" s="33">
        <v>14</v>
      </c>
      <c r="CI104" s="33"/>
      <c r="CJ104" s="33"/>
      <c r="CK104" s="33"/>
      <c r="CL104" s="33"/>
      <c r="CM104" s="33"/>
      <c r="CN104" s="33"/>
      <c r="CO104" s="33"/>
      <c r="CP104" s="33"/>
      <c r="CQ104" s="33"/>
      <c r="CR104" s="33"/>
      <c r="CS104" s="33"/>
      <c r="CT104" s="33"/>
      <c r="CU104" s="34"/>
      <c r="CV104">
        <v>1</v>
      </c>
      <c r="CW104">
        <v>1</v>
      </c>
      <c r="DK104" s="25"/>
      <c r="DL104" s="25"/>
    </row>
    <row r="105" spans="1:116" ht="15.75" customHeight="1">
      <c r="A105" s="53" t="s">
        <v>357</v>
      </c>
      <c r="B105" s="53"/>
      <c r="C105" s="53" t="e">
        <f>IF(S2&gt;0,$C68/S2,0)</f>
        <v>#REF!</v>
      </c>
      <c r="D105" t="s">
        <v>92</v>
      </c>
      <c r="BC105" t="s">
        <v>358</v>
      </c>
      <c r="BD105">
        <v>550</v>
      </c>
      <c r="BE105">
        <v>50</v>
      </c>
      <c r="BF105">
        <v>41.9</v>
      </c>
      <c r="BG105">
        <v>-0.28999999999999998</v>
      </c>
      <c r="BH105" s="12">
        <v>13.13</v>
      </c>
      <c r="BI105" s="12">
        <v>13.75</v>
      </c>
      <c r="BJ105" s="12"/>
      <c r="BK105" s="12"/>
      <c r="BM105" t="s">
        <v>359</v>
      </c>
      <c r="BN105">
        <v>6</v>
      </c>
      <c r="BO105">
        <v>9000</v>
      </c>
      <c r="BP105">
        <v>600</v>
      </c>
      <c r="BQ105">
        <v>90</v>
      </c>
      <c r="BR105" s="23">
        <v>20</v>
      </c>
      <c r="BS105">
        <v>20</v>
      </c>
      <c r="CF105" s="24"/>
      <c r="CG105" s="33">
        <v>16</v>
      </c>
      <c r="CH105" s="33">
        <v>16</v>
      </c>
      <c r="CU105" s="24"/>
      <c r="CV105">
        <v>1</v>
      </c>
      <c r="CW105">
        <v>1</v>
      </c>
      <c r="DK105" s="15"/>
      <c r="DL105" s="15"/>
    </row>
    <row r="106" spans="1:116" ht="15.75" customHeight="1">
      <c r="A106" s="53" t="s">
        <v>360</v>
      </c>
      <c r="B106" s="53"/>
      <c r="C106" s="53" t="e">
        <f>IF(V2&gt;0,$C69/V2,0)</f>
        <v>#REF!</v>
      </c>
      <c r="D106" t="s">
        <v>92</v>
      </c>
      <c r="BC106" t="s">
        <v>361</v>
      </c>
      <c r="BD106">
        <v>440</v>
      </c>
      <c r="BE106">
        <v>49.6</v>
      </c>
      <c r="BF106">
        <v>40.799999999999997</v>
      </c>
      <c r="BG106">
        <v>-0.33</v>
      </c>
      <c r="BH106" s="12">
        <v>10.78</v>
      </c>
      <c r="BI106" s="12">
        <v>11.34</v>
      </c>
      <c r="BJ106" s="12"/>
      <c r="BK106" s="12"/>
      <c r="BM106" t="s">
        <v>362</v>
      </c>
      <c r="BN106">
        <v>6</v>
      </c>
      <c r="BO106">
        <v>9900</v>
      </c>
      <c r="BP106">
        <v>550</v>
      </c>
      <c r="BQ106">
        <v>90</v>
      </c>
      <c r="BR106" s="39">
        <v>15</v>
      </c>
      <c r="BS106" s="33">
        <v>15</v>
      </c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4"/>
      <c r="CG106" s="33">
        <v>13</v>
      </c>
      <c r="CH106" s="33">
        <v>13</v>
      </c>
      <c r="CI106" s="33"/>
      <c r="CJ106" s="33"/>
      <c r="CK106" s="33"/>
      <c r="CL106" s="33"/>
      <c r="CM106" s="33"/>
      <c r="CN106" s="33"/>
      <c r="CO106" s="33"/>
      <c r="CP106" s="33"/>
      <c r="CQ106" s="33"/>
      <c r="CR106" s="33"/>
      <c r="CS106" s="33"/>
      <c r="CT106" s="33"/>
      <c r="CU106" s="34"/>
      <c r="CV106">
        <v>1</v>
      </c>
      <c r="CW106">
        <v>1</v>
      </c>
      <c r="DK106" s="25"/>
      <c r="DL106" s="25"/>
    </row>
    <row r="107" spans="1:116" ht="15.75" customHeight="1">
      <c r="A107" s="53" t="s">
        <v>363</v>
      </c>
      <c r="B107" s="53"/>
      <c r="C107" s="53" t="e">
        <f>IF(Y2&gt;0,$C70/Y2,0)</f>
        <v>#REF!</v>
      </c>
      <c r="D107" t="s">
        <v>92</v>
      </c>
      <c r="BC107" t="s">
        <v>364</v>
      </c>
      <c r="BD107">
        <v>505</v>
      </c>
      <c r="BE107">
        <v>45.8</v>
      </c>
      <c r="BF107">
        <v>38.4</v>
      </c>
      <c r="BG107">
        <v>-0.33</v>
      </c>
      <c r="BH107" s="12">
        <v>13.15</v>
      </c>
      <c r="BI107" s="12">
        <v>13.84</v>
      </c>
      <c r="BJ107" s="12"/>
      <c r="BK107" s="12"/>
      <c r="BM107" t="s">
        <v>365</v>
      </c>
      <c r="BN107">
        <v>7</v>
      </c>
      <c r="BO107">
        <v>11250</v>
      </c>
      <c r="BP107">
        <v>600</v>
      </c>
      <c r="BQ107">
        <v>90</v>
      </c>
      <c r="BR107" s="23">
        <v>20</v>
      </c>
      <c r="BS107">
        <v>20</v>
      </c>
      <c r="BT107">
        <v>20</v>
      </c>
      <c r="CF107" s="24"/>
      <c r="CG107" s="33">
        <v>16</v>
      </c>
      <c r="CH107" s="33">
        <v>16</v>
      </c>
      <c r="CI107" s="33">
        <v>16</v>
      </c>
      <c r="CJ107" s="33"/>
      <c r="CK107" s="33"/>
      <c r="CL107" s="33"/>
      <c r="CM107" s="33"/>
      <c r="CN107" s="33"/>
      <c r="CO107" s="33"/>
      <c r="CP107" s="33"/>
      <c r="CQ107" s="33"/>
      <c r="CR107" s="33"/>
      <c r="CS107" s="33"/>
      <c r="CT107" s="33"/>
      <c r="CU107" s="34"/>
      <c r="CV107">
        <v>1</v>
      </c>
      <c r="CW107">
        <v>1</v>
      </c>
      <c r="CX107">
        <v>1</v>
      </c>
      <c r="DK107" s="15"/>
      <c r="DL107" s="15"/>
    </row>
    <row r="108" spans="1:116" ht="15.75" customHeight="1">
      <c r="A108" s="53" t="s">
        <v>366</v>
      </c>
      <c r="B108" s="53"/>
      <c r="C108" s="53" t="e">
        <f>IF(AB2&gt;0,$C71/AB2,0)</f>
        <v>#REF!</v>
      </c>
      <c r="D108" t="s">
        <v>92</v>
      </c>
      <c r="BC108" t="s">
        <v>367</v>
      </c>
      <c r="BD108">
        <v>545</v>
      </c>
      <c r="BE108">
        <v>49.81</v>
      </c>
      <c r="BF108">
        <v>41.8</v>
      </c>
      <c r="BG108">
        <v>-0.27</v>
      </c>
      <c r="BH108" s="12">
        <v>13.04</v>
      </c>
      <c r="BI108" s="60">
        <v>13.92</v>
      </c>
      <c r="BJ108" s="60"/>
      <c r="BK108" s="60"/>
      <c r="BM108" t="s">
        <v>368</v>
      </c>
      <c r="BN108">
        <v>8</v>
      </c>
      <c r="BO108">
        <v>13200</v>
      </c>
      <c r="BP108">
        <v>550</v>
      </c>
      <c r="BQ108" s="14">
        <v>90</v>
      </c>
      <c r="BR108" s="33">
        <v>30</v>
      </c>
      <c r="BS108" s="33">
        <v>15</v>
      </c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4"/>
      <c r="CG108" s="33">
        <v>26</v>
      </c>
      <c r="CH108" s="33">
        <v>13</v>
      </c>
      <c r="CI108" s="33"/>
      <c r="CJ108" s="33"/>
      <c r="CK108" s="33"/>
      <c r="CL108" s="33"/>
      <c r="CM108" s="33"/>
      <c r="CN108" s="33"/>
      <c r="CO108" s="33"/>
      <c r="CP108" s="33"/>
      <c r="CQ108" s="33"/>
      <c r="CR108" s="33"/>
      <c r="CS108" s="33"/>
      <c r="CT108" s="33"/>
      <c r="CU108" s="34"/>
      <c r="CV108">
        <v>2</v>
      </c>
      <c r="CW108">
        <v>1</v>
      </c>
      <c r="DK108" s="61"/>
      <c r="DL108" s="61"/>
    </row>
    <row r="109" spans="1:116" ht="15.75" customHeight="1">
      <c r="A109" s="53" t="s">
        <v>369</v>
      </c>
      <c r="B109" s="53"/>
      <c r="C109" s="53" t="e">
        <f>IF(AE2&gt;0,$C72/AE2,0)</f>
        <v>#REF!</v>
      </c>
      <c r="D109" t="s">
        <v>92</v>
      </c>
      <c r="BC109" t="s">
        <v>370</v>
      </c>
      <c r="BD109" s="12">
        <v>640</v>
      </c>
      <c r="BE109" s="12">
        <v>57.4</v>
      </c>
      <c r="BF109" s="12">
        <v>48.71</v>
      </c>
      <c r="BG109" s="12">
        <v>-0.24</v>
      </c>
      <c r="BH109" s="12">
        <v>13.14</v>
      </c>
      <c r="BI109" s="12">
        <v>13.98</v>
      </c>
      <c r="BJ109" s="12"/>
      <c r="BK109" s="12"/>
      <c r="BM109" t="s">
        <v>371</v>
      </c>
      <c r="BN109">
        <v>8</v>
      </c>
      <c r="BO109">
        <f>$BN109*1.6*1000+200</f>
        <v>13000</v>
      </c>
      <c r="BP109">
        <v>550</v>
      </c>
      <c r="BQ109" s="14">
        <v>120</v>
      </c>
      <c r="BR109" s="33">
        <v>25</v>
      </c>
      <c r="BS109" s="33">
        <v>25</v>
      </c>
      <c r="BT109" s="33">
        <v>30</v>
      </c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9">
        <v>16</v>
      </c>
      <c r="CH109" s="33">
        <v>16</v>
      </c>
      <c r="CI109" s="33">
        <v>20</v>
      </c>
      <c r="CJ109" s="33"/>
      <c r="CK109" s="33"/>
      <c r="CL109" s="33"/>
      <c r="CM109" s="33"/>
      <c r="CN109" s="33"/>
      <c r="CO109" s="33"/>
      <c r="CP109" s="33"/>
      <c r="CQ109" s="33"/>
      <c r="CR109" s="33"/>
      <c r="CS109" s="33"/>
      <c r="CT109" s="33"/>
      <c r="CU109" s="34"/>
      <c r="CV109">
        <v>1</v>
      </c>
      <c r="CW109">
        <v>1</v>
      </c>
      <c r="CX109">
        <v>1</v>
      </c>
      <c r="DK109" s="15"/>
      <c r="DL109" s="15"/>
    </row>
    <row r="110" spans="1:116" ht="15.75" customHeight="1">
      <c r="A110" s="53" t="s">
        <v>372</v>
      </c>
      <c r="B110" s="53"/>
      <c r="C110" s="53" t="e">
        <f>IF(AH2&gt;0,$C73/AH2,0)</f>
        <v>#REF!</v>
      </c>
      <c r="D110" t="s">
        <v>92</v>
      </c>
      <c r="BC110" t="s">
        <v>373</v>
      </c>
      <c r="BD110">
        <v>620</v>
      </c>
      <c r="BE110">
        <v>48.34</v>
      </c>
      <c r="BF110">
        <v>40.479999999999997</v>
      </c>
      <c r="BG110">
        <v>-0.25</v>
      </c>
      <c r="BH110">
        <v>15.33</v>
      </c>
      <c r="BI110">
        <v>16.21</v>
      </c>
      <c r="BJ110">
        <v>213692</v>
      </c>
      <c r="BK110" t="s">
        <v>516</v>
      </c>
      <c r="BM110" t="s">
        <v>374</v>
      </c>
      <c r="BN110">
        <v>8</v>
      </c>
      <c r="BO110">
        <v>12000</v>
      </c>
      <c r="BP110">
        <v>600</v>
      </c>
      <c r="BQ110" s="14">
        <v>90</v>
      </c>
      <c r="BR110" s="12">
        <v>20</v>
      </c>
      <c r="BS110">
        <v>20</v>
      </c>
      <c r="BT110">
        <v>20</v>
      </c>
      <c r="CF110" s="12"/>
      <c r="CG110" s="39">
        <v>16</v>
      </c>
      <c r="CH110" s="33">
        <v>16</v>
      </c>
      <c r="CI110" s="33">
        <v>16</v>
      </c>
      <c r="CJ110" s="33"/>
      <c r="CK110" s="33"/>
      <c r="CL110" s="33"/>
      <c r="CM110" s="33"/>
      <c r="CN110" s="33"/>
      <c r="CO110" s="33"/>
      <c r="CP110" s="33"/>
      <c r="CQ110" s="33"/>
      <c r="CR110" s="33"/>
      <c r="CS110" s="33"/>
      <c r="CT110" s="33"/>
      <c r="CU110" s="34"/>
      <c r="CV110">
        <v>1</v>
      </c>
      <c r="CW110">
        <v>1</v>
      </c>
      <c r="CX110">
        <v>1</v>
      </c>
      <c r="DK110" s="41"/>
      <c r="DL110" s="41"/>
    </row>
    <row r="111" spans="1:116" ht="15.75" customHeight="1">
      <c r="A111" s="53" t="s">
        <v>375</v>
      </c>
      <c r="B111" s="53"/>
      <c r="C111" s="53" t="e">
        <f>IF(AK2&gt;0,$C74/AK2,0)</f>
        <v>#REF!</v>
      </c>
      <c r="D111" t="s">
        <v>92</v>
      </c>
      <c r="BC111" t="s">
        <v>0</v>
      </c>
      <c r="BD111" s="12">
        <v>415</v>
      </c>
      <c r="BE111" s="12">
        <v>40.700000000000003</v>
      </c>
      <c r="BF111" s="12">
        <v>35.299999999999997</v>
      </c>
      <c r="BG111" s="12">
        <v>-0.23</v>
      </c>
      <c r="BH111" s="12">
        <v>11.75</v>
      </c>
      <c r="BI111" s="12">
        <v>12.64</v>
      </c>
      <c r="BJ111" s="12">
        <v>206291</v>
      </c>
      <c r="BK111" s="12" t="s">
        <v>516</v>
      </c>
      <c r="BM111" t="s">
        <v>376</v>
      </c>
      <c r="BN111">
        <v>25</v>
      </c>
      <c r="BO111">
        <v>41250</v>
      </c>
      <c r="BP111">
        <v>1000</v>
      </c>
      <c r="BQ111" s="14">
        <v>250</v>
      </c>
      <c r="BR111" s="33">
        <v>42</v>
      </c>
      <c r="BS111" s="33">
        <v>42</v>
      </c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9">
        <v>37.5</v>
      </c>
      <c r="CH111" s="33">
        <v>37.5</v>
      </c>
      <c r="CI111" s="33"/>
      <c r="CJ111" s="33"/>
      <c r="CK111" s="33"/>
      <c r="CL111" s="33"/>
      <c r="CM111" s="33"/>
      <c r="CN111" s="33"/>
      <c r="CO111" s="33"/>
      <c r="CP111" s="33"/>
      <c r="CQ111" s="33"/>
      <c r="CR111" s="33"/>
      <c r="CS111" s="33"/>
      <c r="CT111" s="33"/>
      <c r="CU111" s="34"/>
      <c r="CV111" s="63">
        <v>3</v>
      </c>
      <c r="CW111" s="63">
        <v>3</v>
      </c>
      <c r="CX111" s="63"/>
      <c r="CY111" s="63"/>
      <c r="DK111" s="15"/>
      <c r="DL111" s="15"/>
    </row>
    <row r="112" spans="1:116" ht="15.75" customHeight="1">
      <c r="A112" s="53" t="s">
        <v>377</v>
      </c>
      <c r="B112" s="53"/>
      <c r="C112" s="53" t="e">
        <f>IF(AN2&gt;0,$C75/AN2,0)</f>
        <v>#REF!</v>
      </c>
      <c r="D112" t="s">
        <v>92</v>
      </c>
      <c r="BM112" t="s">
        <v>378</v>
      </c>
      <c r="BN112">
        <v>30</v>
      </c>
      <c r="BO112">
        <v>49500</v>
      </c>
      <c r="BP112">
        <v>1000</v>
      </c>
      <c r="BQ112">
        <v>250</v>
      </c>
      <c r="BR112" s="39">
        <v>42</v>
      </c>
      <c r="BS112" s="33">
        <v>42</v>
      </c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4"/>
      <c r="CG112" s="33">
        <v>37.5</v>
      </c>
      <c r="CH112" s="33">
        <v>37.5</v>
      </c>
      <c r="CI112" s="33"/>
      <c r="CJ112" s="33"/>
      <c r="CK112" s="33"/>
      <c r="CL112" s="33"/>
      <c r="CM112" s="33"/>
      <c r="CN112" s="33"/>
      <c r="CO112" s="33"/>
      <c r="CP112" s="33"/>
      <c r="CQ112" s="33"/>
      <c r="CR112" s="33"/>
      <c r="CS112" s="33"/>
      <c r="CT112" s="33"/>
      <c r="CU112" s="34"/>
      <c r="CV112">
        <v>3</v>
      </c>
      <c r="CW112">
        <v>3</v>
      </c>
      <c r="DK112" s="41"/>
      <c r="DL112" s="41"/>
    </row>
    <row r="113" spans="1:116" ht="15.75" customHeight="1">
      <c r="A113" s="53" t="s">
        <v>379</v>
      </c>
      <c r="B113" s="53"/>
      <c r="C113" s="53" t="e">
        <f>IF(AQ2&gt;0,$C76/AQ2,0)</f>
        <v>#REF!</v>
      </c>
      <c r="D113" t="s">
        <v>92</v>
      </c>
      <c r="BM113" t="s">
        <v>380</v>
      </c>
      <c r="BN113">
        <v>3</v>
      </c>
      <c r="BO113">
        <v>3300</v>
      </c>
      <c r="BP113">
        <v>500</v>
      </c>
      <c r="BQ113">
        <v>90</v>
      </c>
      <c r="BR113" s="39">
        <v>17</v>
      </c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4"/>
      <c r="CG113" s="33">
        <v>14</v>
      </c>
      <c r="CH113" s="33"/>
      <c r="CI113" s="33"/>
      <c r="CJ113" s="33"/>
      <c r="CK113" s="33"/>
      <c r="CL113" s="33"/>
      <c r="CM113" s="33"/>
      <c r="CN113" s="33"/>
      <c r="CO113" s="33"/>
      <c r="CP113" s="33"/>
      <c r="CQ113" s="33"/>
      <c r="CR113" s="33"/>
      <c r="CS113" s="33"/>
      <c r="CT113" s="33"/>
      <c r="CU113" s="34"/>
      <c r="CV113">
        <v>1</v>
      </c>
      <c r="DK113" s="15">
        <v>70396</v>
      </c>
      <c r="DL113" s="15" t="s">
        <v>516</v>
      </c>
    </row>
    <row r="114" spans="1:116" ht="15.75" customHeight="1">
      <c r="A114" s="53" t="s">
        <v>381</v>
      </c>
      <c r="B114" s="53"/>
      <c r="C114" s="53" t="e">
        <f>IF(AT2&gt;0,$C77/AT2,0)</f>
        <v>#REF!</v>
      </c>
      <c r="D114" t="s">
        <v>92</v>
      </c>
      <c r="BM114" t="s">
        <v>382</v>
      </c>
      <c r="BN114">
        <v>5</v>
      </c>
      <c r="BO114">
        <v>5500</v>
      </c>
      <c r="BP114">
        <v>500</v>
      </c>
      <c r="BQ114">
        <v>90</v>
      </c>
      <c r="BR114" s="39">
        <v>31.25</v>
      </c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4"/>
      <c r="CG114" s="33">
        <v>25</v>
      </c>
      <c r="CH114" s="33"/>
      <c r="CI114" s="33"/>
      <c r="CJ114" s="33"/>
      <c r="CK114" s="33"/>
      <c r="CL114" s="33"/>
      <c r="CM114" s="33"/>
      <c r="CN114" s="33"/>
      <c r="CO114" s="33"/>
      <c r="CP114" s="33"/>
      <c r="CQ114" s="33"/>
      <c r="CR114" s="33"/>
      <c r="CS114" s="33"/>
      <c r="CT114" s="33"/>
      <c r="CU114" s="34"/>
      <c r="CV114">
        <v>2</v>
      </c>
      <c r="DK114" s="41">
        <v>70397</v>
      </c>
      <c r="DL114" s="41" t="s">
        <v>516</v>
      </c>
    </row>
    <row r="115" spans="1:116" ht="15.75" customHeight="1">
      <c r="A115" s="53" t="s">
        <v>383</v>
      </c>
      <c r="B115" s="53"/>
      <c r="C115" s="53" t="e">
        <f>IF(AW2&gt;0,$C78/AW2,0)</f>
        <v>#REF!</v>
      </c>
      <c r="D115" t="s">
        <v>92</v>
      </c>
      <c r="BM115" t="s">
        <v>384</v>
      </c>
      <c r="BN115">
        <v>30</v>
      </c>
      <c r="BO115">
        <v>60000</v>
      </c>
      <c r="BP115">
        <v>800</v>
      </c>
      <c r="BQ115" s="14">
        <v>180</v>
      </c>
      <c r="BR115">
        <v>60</v>
      </c>
      <c r="BS115">
        <v>60</v>
      </c>
      <c r="BT115">
        <v>60</v>
      </c>
      <c r="BU115">
        <v>60</v>
      </c>
      <c r="CG115" s="13">
        <v>48</v>
      </c>
      <c r="CH115">
        <v>48</v>
      </c>
      <c r="CI115">
        <v>48</v>
      </c>
      <c r="CJ115">
        <v>48</v>
      </c>
      <c r="CU115" s="14"/>
      <c r="CV115" s="64">
        <v>2</v>
      </c>
      <c r="CW115" s="64">
        <v>2</v>
      </c>
      <c r="CX115" s="64">
        <v>2</v>
      </c>
      <c r="CY115" s="64">
        <v>2</v>
      </c>
      <c r="DK115" s="15"/>
      <c r="DL115" s="15"/>
    </row>
    <row r="116" spans="1:116" ht="15.75" customHeight="1">
      <c r="A116" s="53" t="s">
        <v>385</v>
      </c>
      <c r="B116" s="53"/>
      <c r="C116" s="53" t="e">
        <f>IF(AZ2&gt;0,$C79/AZ2,0)</f>
        <v>#REF!</v>
      </c>
      <c r="D116" t="s">
        <v>92</v>
      </c>
      <c r="BM116" t="s">
        <v>386</v>
      </c>
      <c r="BN116">
        <v>30</v>
      </c>
      <c r="BO116">
        <v>45000</v>
      </c>
      <c r="BP116">
        <v>800</v>
      </c>
      <c r="BQ116" s="14">
        <v>180</v>
      </c>
      <c r="BR116">
        <v>60</v>
      </c>
      <c r="BS116">
        <v>60</v>
      </c>
      <c r="BT116">
        <v>60</v>
      </c>
      <c r="BU116">
        <v>60</v>
      </c>
      <c r="CG116" s="13">
        <v>48</v>
      </c>
      <c r="CH116">
        <v>48</v>
      </c>
      <c r="CI116">
        <v>48</v>
      </c>
      <c r="CJ116">
        <v>48</v>
      </c>
      <c r="CU116" s="14"/>
      <c r="CV116">
        <v>2</v>
      </c>
      <c r="CW116">
        <v>2</v>
      </c>
      <c r="CX116">
        <v>2</v>
      </c>
      <c r="CY116">
        <v>2</v>
      </c>
      <c r="DK116" s="41"/>
      <c r="DL116" s="41"/>
    </row>
    <row r="117" spans="1:116" ht="15.75" customHeight="1">
      <c r="A117" s="53"/>
      <c r="B117" s="53"/>
      <c r="C117" s="53"/>
      <c r="BM117" t="s">
        <v>387</v>
      </c>
      <c r="BN117">
        <v>50</v>
      </c>
      <c r="BO117">
        <v>75000</v>
      </c>
      <c r="BP117">
        <v>1100</v>
      </c>
      <c r="BQ117">
        <v>180</v>
      </c>
      <c r="BR117" s="13">
        <v>50</v>
      </c>
      <c r="BS117">
        <v>50</v>
      </c>
      <c r="BT117">
        <v>50</v>
      </c>
      <c r="BU117">
        <v>50</v>
      </c>
      <c r="CF117" s="14"/>
      <c r="CG117">
        <v>40</v>
      </c>
      <c r="CH117">
        <v>40</v>
      </c>
      <c r="CI117">
        <v>40</v>
      </c>
      <c r="CJ117">
        <v>40</v>
      </c>
      <c r="CU117" s="14"/>
      <c r="CV117">
        <v>2</v>
      </c>
      <c r="CW117">
        <v>2</v>
      </c>
      <c r="CX117">
        <v>2</v>
      </c>
      <c r="CY117">
        <v>2</v>
      </c>
      <c r="DK117" s="15"/>
      <c r="DL117" s="15"/>
    </row>
    <row r="118" spans="1:116" ht="15.75" customHeight="1">
      <c r="A118" s="53"/>
      <c r="B118" s="53"/>
      <c r="C118" s="53"/>
      <c r="BM118" t="s">
        <v>388</v>
      </c>
      <c r="BN118">
        <v>6</v>
      </c>
      <c r="BO118">
        <v>9000</v>
      </c>
      <c r="BP118">
        <v>550</v>
      </c>
      <c r="BQ118">
        <v>80</v>
      </c>
      <c r="BR118" s="13">
        <v>20</v>
      </c>
      <c r="BS118">
        <v>20</v>
      </c>
      <c r="CF118" s="14"/>
      <c r="CG118">
        <v>16</v>
      </c>
      <c r="CH118">
        <v>16</v>
      </c>
      <c r="CU118" s="14"/>
      <c r="CV118">
        <v>1</v>
      </c>
      <c r="CW118">
        <v>1</v>
      </c>
      <c r="DK118" s="41"/>
      <c r="DL118" s="41"/>
    </row>
    <row r="119" spans="1:116" ht="15.75" customHeight="1">
      <c r="A119" s="53"/>
      <c r="B119" s="53"/>
      <c r="C119" s="53"/>
      <c r="BM119" t="s">
        <v>389</v>
      </c>
      <c r="BN119">
        <v>15</v>
      </c>
      <c r="BO119" s="65">
        <v>25500</v>
      </c>
      <c r="BP119">
        <v>800</v>
      </c>
      <c r="BQ119">
        <v>200</v>
      </c>
      <c r="BR119" s="23">
        <v>40</v>
      </c>
      <c r="BS119">
        <v>40</v>
      </c>
      <c r="CF119" s="24"/>
      <c r="CG119" s="33">
        <v>32</v>
      </c>
      <c r="CH119" s="33">
        <v>32</v>
      </c>
      <c r="CI119" s="33"/>
      <c r="CJ119" s="33"/>
      <c r="CK119" s="33"/>
      <c r="CL119" s="33"/>
      <c r="CM119" s="33"/>
      <c r="CN119" s="33"/>
      <c r="CO119" s="33"/>
      <c r="CP119" s="33"/>
      <c r="CQ119" s="33"/>
      <c r="CR119" s="33"/>
      <c r="CS119" s="33"/>
      <c r="CT119" s="33"/>
      <c r="CU119" s="34"/>
      <c r="CV119">
        <v>2</v>
      </c>
      <c r="CW119">
        <v>2</v>
      </c>
      <c r="DK119" s="15"/>
      <c r="DL119" s="15"/>
    </row>
    <row r="120" spans="1:116" ht="15.75" customHeight="1">
      <c r="A120" s="53" t="s">
        <v>390</v>
      </c>
      <c r="B120" s="53"/>
      <c r="C120" s="53" t="e">
        <f>IF(J2&gt;0,$C83/J2,0)</f>
        <v>#VALUE!</v>
      </c>
      <c r="D120" t="s">
        <v>92</v>
      </c>
      <c r="BM120" t="s">
        <v>391</v>
      </c>
      <c r="BN120">
        <v>20</v>
      </c>
      <c r="BO120">
        <v>34000</v>
      </c>
      <c r="BP120">
        <v>1100</v>
      </c>
      <c r="BQ120">
        <v>200</v>
      </c>
      <c r="BR120" s="23">
        <v>40</v>
      </c>
      <c r="BS120">
        <v>40</v>
      </c>
      <c r="CF120" s="24"/>
      <c r="CG120" s="33">
        <v>32</v>
      </c>
      <c r="CH120" s="33">
        <v>32</v>
      </c>
      <c r="CI120" s="33"/>
      <c r="CJ120" s="33"/>
      <c r="CK120" s="33"/>
      <c r="CL120" s="33"/>
      <c r="CM120" s="33"/>
      <c r="CN120" s="33"/>
      <c r="CO120" s="33"/>
      <c r="CP120" s="33"/>
      <c r="CQ120" s="33"/>
      <c r="CR120" s="33"/>
      <c r="CS120" s="33"/>
      <c r="CT120" s="33"/>
      <c r="CU120" s="34"/>
      <c r="CV120">
        <v>2</v>
      </c>
      <c r="CW120">
        <v>2</v>
      </c>
      <c r="DK120" s="41"/>
      <c r="DL120" s="41"/>
    </row>
    <row r="121" spans="1:116" ht="15.75" customHeight="1">
      <c r="A121" s="53" t="s">
        <v>392</v>
      </c>
      <c r="B121" s="53"/>
      <c r="C121" s="53" t="e">
        <f>IF(M2&gt;0,$C84/M2,0)</f>
        <v>#REF!</v>
      </c>
      <c r="D121" t="s">
        <v>92</v>
      </c>
      <c r="BM121" t="s">
        <v>393</v>
      </c>
      <c r="BN121">
        <v>20</v>
      </c>
      <c r="BO121">
        <v>34000</v>
      </c>
      <c r="BP121">
        <v>800</v>
      </c>
      <c r="BQ121">
        <v>160</v>
      </c>
      <c r="BR121" s="23">
        <v>50</v>
      </c>
      <c r="BS121">
        <v>50</v>
      </c>
      <c r="BT121">
        <v>25</v>
      </c>
      <c r="BU121">
        <v>25</v>
      </c>
      <c r="CF121" s="24"/>
      <c r="CG121">
        <v>40</v>
      </c>
      <c r="CH121">
        <v>40</v>
      </c>
      <c r="CI121">
        <v>20</v>
      </c>
      <c r="CJ121">
        <v>20</v>
      </c>
      <c r="CU121" s="24"/>
      <c r="CV121">
        <v>2</v>
      </c>
      <c r="CW121">
        <v>2</v>
      </c>
      <c r="CX121">
        <v>1</v>
      </c>
      <c r="CY121">
        <v>1</v>
      </c>
      <c r="DK121" s="15"/>
      <c r="DL121" s="15"/>
    </row>
    <row r="122" spans="1:116" ht="15.75" customHeight="1">
      <c r="A122" s="53" t="s">
        <v>394</v>
      </c>
      <c r="B122" s="53"/>
      <c r="C122" s="53" t="e">
        <f>IF(P2&gt;0,$C85/P2,0)</f>
        <v>#REF!</v>
      </c>
      <c r="D122" t="s">
        <v>92</v>
      </c>
      <c r="BM122" t="s">
        <v>395</v>
      </c>
      <c r="BN122">
        <v>25</v>
      </c>
      <c r="BO122">
        <v>42500</v>
      </c>
      <c r="BP122">
        <v>1100</v>
      </c>
      <c r="BQ122">
        <v>200</v>
      </c>
      <c r="BR122" s="23">
        <v>40</v>
      </c>
      <c r="BS122">
        <v>40</v>
      </c>
      <c r="CF122" s="24"/>
      <c r="CG122">
        <v>32</v>
      </c>
      <c r="CH122">
        <v>32</v>
      </c>
      <c r="CU122" s="24"/>
      <c r="CV122">
        <v>2</v>
      </c>
      <c r="CW122">
        <v>2</v>
      </c>
      <c r="DK122" s="41"/>
      <c r="DL122" s="41"/>
    </row>
    <row r="123" spans="1:116" ht="15.75" customHeight="1">
      <c r="A123" s="53" t="s">
        <v>396</v>
      </c>
      <c r="B123" s="53"/>
      <c r="C123" s="53" t="e">
        <f>IF(S2&gt;0,$C86/S2,0)</f>
        <v>#REF!</v>
      </c>
      <c r="D123" t="s">
        <v>92</v>
      </c>
      <c r="BM123" t="s">
        <v>397</v>
      </c>
      <c r="BN123">
        <v>25</v>
      </c>
      <c r="BO123">
        <v>42500</v>
      </c>
      <c r="BP123">
        <v>800</v>
      </c>
      <c r="BQ123">
        <v>160</v>
      </c>
      <c r="BR123" s="23">
        <v>50</v>
      </c>
      <c r="BS123">
        <v>50</v>
      </c>
      <c r="BT123">
        <v>25</v>
      </c>
      <c r="BU123">
        <v>25</v>
      </c>
      <c r="CF123" s="12"/>
      <c r="CG123" s="39">
        <v>40</v>
      </c>
      <c r="CH123" s="33">
        <v>40</v>
      </c>
      <c r="CI123" s="33">
        <v>20</v>
      </c>
      <c r="CJ123" s="33">
        <v>20</v>
      </c>
      <c r="CK123" s="33"/>
      <c r="CL123" s="33"/>
      <c r="CM123" s="33"/>
      <c r="CN123" s="33"/>
      <c r="CO123" s="33"/>
      <c r="CP123" s="33"/>
      <c r="CQ123" s="33"/>
      <c r="CR123" s="33"/>
      <c r="CS123" s="33"/>
      <c r="CT123" s="33"/>
      <c r="CU123" s="34"/>
      <c r="CV123">
        <v>2</v>
      </c>
      <c r="CW123">
        <v>2</v>
      </c>
      <c r="CX123">
        <v>1</v>
      </c>
      <c r="CY123">
        <v>1</v>
      </c>
      <c r="DK123" s="15"/>
      <c r="DL123" s="15"/>
    </row>
    <row r="124" spans="1:116" ht="15.75" customHeight="1">
      <c r="A124" s="53" t="s">
        <v>398</v>
      </c>
      <c r="B124" s="53"/>
      <c r="C124" s="53" t="e">
        <f>IF(V2&gt;0,$C87/V2,0)</f>
        <v>#REF!</v>
      </c>
      <c r="D124" t="s">
        <v>92</v>
      </c>
      <c r="BM124" t="s">
        <v>399</v>
      </c>
      <c r="BN124">
        <v>30</v>
      </c>
      <c r="BO124">
        <v>60000</v>
      </c>
      <c r="BP124">
        <v>1100</v>
      </c>
      <c r="BQ124">
        <v>160</v>
      </c>
      <c r="BR124" s="23">
        <v>50</v>
      </c>
      <c r="BS124">
        <v>40</v>
      </c>
      <c r="BT124">
        <v>40</v>
      </c>
      <c r="CF124" s="24"/>
      <c r="CG124" s="33">
        <v>40</v>
      </c>
      <c r="CH124" s="33">
        <v>32</v>
      </c>
      <c r="CI124" s="33">
        <v>32</v>
      </c>
      <c r="CJ124" s="33"/>
      <c r="CK124" s="33"/>
      <c r="CL124" s="33"/>
      <c r="CM124" s="33"/>
      <c r="CN124" s="33"/>
      <c r="CO124" s="33"/>
      <c r="CP124" s="33"/>
      <c r="CQ124" s="33"/>
      <c r="CR124" s="33"/>
      <c r="CS124" s="33"/>
      <c r="CT124" s="33"/>
      <c r="CU124" s="34"/>
      <c r="CV124">
        <v>2</v>
      </c>
      <c r="CW124">
        <v>2</v>
      </c>
      <c r="CX124">
        <v>2</v>
      </c>
      <c r="DK124" s="41"/>
      <c r="DL124" s="41"/>
    </row>
    <row r="125" spans="1:116" ht="15.75" customHeight="1">
      <c r="A125" s="53" t="s">
        <v>400</v>
      </c>
      <c r="B125" s="53"/>
      <c r="C125" s="53" t="e">
        <f>IF(Y2&gt;0,$C88/Y2,0)</f>
        <v>#REF!</v>
      </c>
      <c r="D125" t="s">
        <v>92</v>
      </c>
      <c r="BM125" t="s">
        <v>401</v>
      </c>
      <c r="BN125">
        <v>75</v>
      </c>
      <c r="BO125">
        <v>127500</v>
      </c>
      <c r="BP125">
        <v>800</v>
      </c>
      <c r="BQ125">
        <v>160</v>
      </c>
      <c r="BR125" s="23">
        <v>50</v>
      </c>
      <c r="BS125">
        <v>50</v>
      </c>
      <c r="BT125">
        <v>50</v>
      </c>
      <c r="BU125">
        <v>50</v>
      </c>
      <c r="BV125">
        <v>50</v>
      </c>
      <c r="BW125">
        <v>50</v>
      </c>
      <c r="BX125">
        <v>50</v>
      </c>
      <c r="BY125">
        <v>50</v>
      </c>
      <c r="CF125" s="24"/>
      <c r="CG125">
        <v>40</v>
      </c>
      <c r="CH125">
        <v>40</v>
      </c>
      <c r="CI125">
        <v>40</v>
      </c>
      <c r="CJ125">
        <v>40</v>
      </c>
      <c r="CK125">
        <v>40</v>
      </c>
      <c r="CL125">
        <v>40</v>
      </c>
      <c r="CM125">
        <v>40</v>
      </c>
      <c r="CN125">
        <v>40</v>
      </c>
      <c r="CU125" s="24"/>
      <c r="CV125">
        <v>2</v>
      </c>
      <c r="CW125">
        <v>2</v>
      </c>
      <c r="CX125">
        <v>2</v>
      </c>
      <c r="CY125">
        <v>2</v>
      </c>
      <c r="CZ125">
        <v>2</v>
      </c>
      <c r="DA125">
        <v>2</v>
      </c>
      <c r="DB125">
        <v>2</v>
      </c>
      <c r="DC125">
        <v>2</v>
      </c>
      <c r="DK125" s="15"/>
      <c r="DL125" s="15"/>
    </row>
    <row r="126" spans="1:116" ht="15.75" customHeight="1">
      <c r="A126" s="53" t="s">
        <v>402</v>
      </c>
      <c r="B126" s="53"/>
      <c r="C126" s="53" t="e">
        <f>IF(AB2&gt;0,$C89/AB2,0)</f>
        <v>#REF!</v>
      </c>
      <c r="D126" t="s">
        <v>92</v>
      </c>
      <c r="BM126" t="s">
        <v>403</v>
      </c>
      <c r="BN126">
        <v>17</v>
      </c>
      <c r="BO126">
        <v>25500</v>
      </c>
      <c r="BP126">
        <v>1100</v>
      </c>
      <c r="BQ126">
        <v>200</v>
      </c>
      <c r="BR126" s="23">
        <v>30</v>
      </c>
      <c r="BS126">
        <v>30</v>
      </c>
      <c r="CF126" s="24"/>
      <c r="CG126" s="33">
        <v>25</v>
      </c>
      <c r="CH126" s="33">
        <v>25</v>
      </c>
      <c r="CI126" s="33"/>
      <c r="CJ126" s="33"/>
      <c r="CK126" s="33"/>
      <c r="CL126" s="33"/>
      <c r="CM126" s="33"/>
      <c r="CN126" s="33"/>
      <c r="CO126" s="33"/>
      <c r="CP126" s="33"/>
      <c r="CQ126" s="33"/>
      <c r="CR126" s="33"/>
      <c r="CS126" s="33"/>
      <c r="CT126" s="33"/>
      <c r="CU126" s="34"/>
      <c r="CV126">
        <v>2</v>
      </c>
      <c r="CW126">
        <v>2</v>
      </c>
      <c r="DK126" s="41"/>
      <c r="DL126" s="41"/>
    </row>
    <row r="127" spans="1:116" ht="15.75" customHeight="1">
      <c r="A127" s="53" t="s">
        <v>404</v>
      </c>
      <c r="B127" s="53"/>
      <c r="C127" s="53" t="e">
        <f>IF(AE2&gt;0,$C90/AE2,0)</f>
        <v>#REF!</v>
      </c>
      <c r="D127" t="s">
        <v>92</v>
      </c>
      <c r="BM127" t="s">
        <v>405</v>
      </c>
      <c r="BN127">
        <v>25</v>
      </c>
      <c r="BO127">
        <v>45000</v>
      </c>
      <c r="BP127">
        <v>1000</v>
      </c>
      <c r="BQ127">
        <v>390</v>
      </c>
      <c r="BR127" s="39">
        <v>43</v>
      </c>
      <c r="BS127" s="33">
        <v>43</v>
      </c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4"/>
      <c r="CG127" s="33">
        <v>33</v>
      </c>
      <c r="CH127" s="33">
        <v>33</v>
      </c>
      <c r="CI127" s="33"/>
      <c r="CJ127" s="33"/>
      <c r="CK127" s="33"/>
      <c r="CL127" s="33"/>
      <c r="CM127" s="33"/>
      <c r="CN127" s="33"/>
      <c r="CO127" s="33"/>
      <c r="CP127" s="33"/>
      <c r="CQ127" s="33"/>
      <c r="CR127" s="33"/>
      <c r="CS127" s="33"/>
      <c r="CT127" s="33"/>
      <c r="CU127" s="34"/>
      <c r="CV127">
        <v>3</v>
      </c>
      <c r="CW127">
        <v>3</v>
      </c>
      <c r="DK127" s="15"/>
      <c r="DL127" s="15"/>
    </row>
    <row r="128" spans="1:116" ht="15.75" customHeight="1">
      <c r="A128" s="53" t="s">
        <v>406</v>
      </c>
      <c r="B128" s="53"/>
      <c r="C128" s="53" t="e">
        <f>IF(AH2&gt;0,$C91/AH2,0)</f>
        <v>#REF!</v>
      </c>
      <c r="D128" t="s">
        <v>92</v>
      </c>
      <c r="BC128" s="12"/>
      <c r="BM128" t="s">
        <v>407</v>
      </c>
      <c r="BN128">
        <v>50</v>
      </c>
      <c r="BO128">
        <v>75000</v>
      </c>
      <c r="BP128">
        <v>1000</v>
      </c>
      <c r="BQ128">
        <v>188</v>
      </c>
      <c r="BR128" s="39">
        <v>30</v>
      </c>
      <c r="BS128" s="33">
        <v>30</v>
      </c>
      <c r="BT128" s="33">
        <v>30</v>
      </c>
      <c r="BU128" s="33">
        <v>30</v>
      </c>
      <c r="BV128" s="33">
        <v>30</v>
      </c>
      <c r="BW128" s="33">
        <v>30</v>
      </c>
      <c r="BX128" s="33"/>
      <c r="BY128" s="33"/>
      <c r="BZ128" s="33"/>
      <c r="CA128" s="33"/>
      <c r="CB128" s="33"/>
      <c r="CC128" s="33"/>
      <c r="CD128" s="33"/>
      <c r="CE128" s="33"/>
      <c r="CF128" s="34"/>
      <c r="CG128" s="33">
        <v>20</v>
      </c>
      <c r="CH128" s="33">
        <v>20</v>
      </c>
      <c r="CI128" s="33">
        <v>20</v>
      </c>
      <c r="CJ128" s="33">
        <v>20</v>
      </c>
      <c r="CK128" s="33">
        <v>20</v>
      </c>
      <c r="CL128" s="33">
        <v>20</v>
      </c>
      <c r="CM128" s="33"/>
      <c r="CN128" s="33"/>
      <c r="CO128" s="33"/>
      <c r="CP128" s="33"/>
      <c r="CQ128" s="33"/>
      <c r="CR128" s="33"/>
      <c r="CS128" s="33"/>
      <c r="CT128" s="33"/>
      <c r="CU128" s="34"/>
      <c r="CV128">
        <v>2</v>
      </c>
      <c r="CW128">
        <v>2</v>
      </c>
      <c r="CX128">
        <v>2</v>
      </c>
      <c r="CY128">
        <v>2</v>
      </c>
      <c r="CZ128">
        <v>2</v>
      </c>
      <c r="DA128">
        <v>2</v>
      </c>
      <c r="DK128" s="41"/>
      <c r="DL128" s="41"/>
    </row>
    <row r="129" spans="1:116" ht="15.75" customHeight="1">
      <c r="A129" s="53" t="s">
        <v>408</v>
      </c>
      <c r="B129" s="53"/>
      <c r="C129" s="53" t="e">
        <f>IF(AK2&gt;0,$C92/AK2,0)</f>
        <v>#REF!</v>
      </c>
      <c r="D129" t="s">
        <v>92</v>
      </c>
      <c r="BM129" t="s">
        <v>409</v>
      </c>
      <c r="BN129">
        <v>110</v>
      </c>
      <c r="BO129">
        <v>165000</v>
      </c>
      <c r="BP129">
        <v>1100</v>
      </c>
      <c r="BQ129" s="12">
        <v>500</v>
      </c>
      <c r="BR129" s="39">
        <v>40</v>
      </c>
      <c r="BS129" s="33">
        <v>40</v>
      </c>
      <c r="BT129" s="33">
        <v>40</v>
      </c>
      <c r="BU129" s="33">
        <v>40</v>
      </c>
      <c r="BV129" s="33">
        <v>40</v>
      </c>
      <c r="BW129" s="33">
        <v>40</v>
      </c>
      <c r="BX129" s="33">
        <v>40</v>
      </c>
      <c r="BY129" s="33">
        <v>40</v>
      </c>
      <c r="BZ129" s="33">
        <v>40</v>
      </c>
      <c r="CA129" s="33">
        <v>40</v>
      </c>
      <c r="CB129" s="33">
        <v>40</v>
      </c>
      <c r="CC129" s="33">
        <v>40</v>
      </c>
      <c r="CD129" s="33"/>
      <c r="CE129" s="33"/>
      <c r="CF129" s="33"/>
      <c r="CG129" s="39">
        <v>26</v>
      </c>
      <c r="CH129" s="33">
        <v>26</v>
      </c>
      <c r="CI129" s="33">
        <v>26</v>
      </c>
      <c r="CJ129" s="33">
        <v>26</v>
      </c>
      <c r="CK129" s="33">
        <v>26</v>
      </c>
      <c r="CL129" s="33">
        <v>26</v>
      </c>
      <c r="CM129" s="33">
        <v>26</v>
      </c>
      <c r="CN129" s="33">
        <v>26</v>
      </c>
      <c r="CO129" s="33">
        <v>26</v>
      </c>
      <c r="CP129" s="33">
        <v>26</v>
      </c>
      <c r="CQ129" s="33">
        <v>26</v>
      </c>
      <c r="CR129" s="33">
        <v>26</v>
      </c>
      <c r="CS129" s="33"/>
      <c r="CT129" s="33"/>
      <c r="CU129" s="34"/>
      <c r="CV129">
        <v>2</v>
      </c>
      <c r="CW129">
        <v>2</v>
      </c>
      <c r="CX129">
        <v>2</v>
      </c>
      <c r="CY129">
        <v>2</v>
      </c>
      <c r="CZ129">
        <v>2</v>
      </c>
      <c r="DA129">
        <v>2</v>
      </c>
      <c r="DB129">
        <v>2</v>
      </c>
      <c r="DC129">
        <v>2</v>
      </c>
      <c r="DD129">
        <v>2</v>
      </c>
      <c r="DE129">
        <v>2</v>
      </c>
      <c r="DF129">
        <v>2</v>
      </c>
      <c r="DG129">
        <v>2</v>
      </c>
      <c r="DK129" s="15"/>
      <c r="DL129" s="15"/>
    </row>
    <row r="130" spans="1:116" ht="15.75" customHeight="1">
      <c r="A130" s="53" t="s">
        <v>410</v>
      </c>
      <c r="B130" s="53"/>
      <c r="C130" s="53" t="e">
        <f>IF(AN2&gt;0,$C93/AN2,0)</f>
        <v>#REF!</v>
      </c>
      <c r="D130" t="s">
        <v>92</v>
      </c>
      <c r="BM130" t="s">
        <v>411</v>
      </c>
      <c r="BN130">
        <v>25</v>
      </c>
      <c r="BO130">
        <v>37500</v>
      </c>
      <c r="BP130">
        <v>1000</v>
      </c>
      <c r="BQ130" s="12">
        <v>430</v>
      </c>
      <c r="BR130" s="39">
        <v>37.5</v>
      </c>
      <c r="BS130" s="33">
        <v>37.5</v>
      </c>
      <c r="BT130" s="33">
        <v>37.5</v>
      </c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9">
        <v>24</v>
      </c>
      <c r="CH130" s="33">
        <v>24</v>
      </c>
      <c r="CI130" s="33">
        <v>24</v>
      </c>
      <c r="CJ130" s="33"/>
      <c r="CK130" s="33"/>
      <c r="CL130" s="33"/>
      <c r="CM130" s="33"/>
      <c r="CN130" s="33"/>
      <c r="CO130" s="33"/>
      <c r="CP130" s="33"/>
      <c r="CQ130" s="33"/>
      <c r="CR130" s="33"/>
      <c r="CS130" s="33"/>
      <c r="CT130" s="33"/>
      <c r="CU130" s="34"/>
      <c r="CV130">
        <v>2</v>
      </c>
      <c r="CW130">
        <v>2</v>
      </c>
      <c r="CX130">
        <v>2</v>
      </c>
      <c r="DK130" s="41"/>
      <c r="DL130" s="41"/>
    </row>
    <row r="131" spans="1:116" ht="15.75" customHeight="1">
      <c r="A131" s="53" t="s">
        <v>412</v>
      </c>
      <c r="B131" s="53"/>
      <c r="C131" s="53" t="e">
        <f>IF(AQ2&gt;0,$C94/AQ2,0)</f>
        <v>#REF!</v>
      </c>
      <c r="D131" t="s">
        <v>92</v>
      </c>
      <c r="BM131" t="s">
        <v>413</v>
      </c>
      <c r="BN131">
        <v>15</v>
      </c>
      <c r="BO131">
        <v>30000</v>
      </c>
      <c r="BP131">
        <v>1000</v>
      </c>
      <c r="BQ131" s="12">
        <v>110</v>
      </c>
      <c r="BR131" s="13">
        <v>40</v>
      </c>
      <c r="BS131">
        <v>25</v>
      </c>
      <c r="CB131" s="54"/>
      <c r="CC131" s="54"/>
      <c r="CD131" s="54"/>
      <c r="CE131" s="54"/>
      <c r="CF131" s="54"/>
      <c r="CG131" s="23">
        <v>32</v>
      </c>
      <c r="CH131">
        <v>20</v>
      </c>
      <c r="CU131" s="24"/>
      <c r="CV131">
        <v>2</v>
      </c>
      <c r="CW131">
        <v>1</v>
      </c>
      <c r="DK131" s="15"/>
      <c r="DL131" s="15"/>
    </row>
    <row r="132" spans="1:116" ht="15.75" customHeight="1">
      <c r="A132" s="53" t="s">
        <v>414</v>
      </c>
      <c r="B132" s="53"/>
      <c r="C132" s="53" t="e">
        <f>IF(AT2&gt;0,$C95/AT2,0)</f>
        <v>#REF!</v>
      </c>
      <c r="D132" t="s">
        <v>92</v>
      </c>
      <c r="BM132" t="s">
        <v>415</v>
      </c>
      <c r="BN132">
        <v>15</v>
      </c>
      <c r="BO132">
        <v>30000</v>
      </c>
      <c r="BP132">
        <v>1000</v>
      </c>
      <c r="BQ132" s="24">
        <v>200</v>
      </c>
      <c r="BR132">
        <v>35</v>
      </c>
      <c r="BS132">
        <v>20</v>
      </c>
      <c r="CB132" s="33"/>
      <c r="CC132" s="33"/>
      <c r="CD132" s="33"/>
      <c r="CE132" s="33"/>
      <c r="CF132" s="33"/>
      <c r="CG132" s="23">
        <v>28</v>
      </c>
      <c r="CH132">
        <v>16</v>
      </c>
      <c r="CU132" s="24"/>
      <c r="CV132" s="12">
        <v>2</v>
      </c>
      <c r="CW132" s="12">
        <v>1</v>
      </c>
      <c r="CX132" s="12"/>
      <c r="CY132" s="59"/>
      <c r="CZ132" s="59"/>
      <c r="DA132" s="59"/>
      <c r="DB132" s="59"/>
      <c r="DC132" s="59"/>
      <c r="DD132" s="59"/>
      <c r="DE132" s="59"/>
      <c r="DF132" s="59"/>
      <c r="DG132" s="59"/>
      <c r="DH132" s="59"/>
      <c r="DK132" s="41"/>
      <c r="DL132" s="41"/>
    </row>
    <row r="133" spans="1:116" ht="15.75" customHeight="1">
      <c r="A133" s="53" t="s">
        <v>416</v>
      </c>
      <c r="B133" s="53"/>
      <c r="C133" s="53" t="e">
        <f>IF(AW2&gt;0,$C96/AW2,0)</f>
        <v>#REF!</v>
      </c>
      <c r="D133" t="s">
        <v>92</v>
      </c>
      <c r="BM133" t="s">
        <v>417</v>
      </c>
      <c r="BN133">
        <v>5</v>
      </c>
      <c r="BO133">
        <v>10000</v>
      </c>
      <c r="BP133">
        <v>550</v>
      </c>
      <c r="BQ133">
        <v>110</v>
      </c>
      <c r="BR133" s="23">
        <v>20</v>
      </c>
      <c r="BS133">
        <v>20</v>
      </c>
      <c r="CB133" s="33"/>
      <c r="CC133" s="33"/>
      <c r="CD133" s="33"/>
      <c r="CE133" s="33"/>
      <c r="CF133" s="33"/>
      <c r="CG133" s="13">
        <v>16</v>
      </c>
      <c r="CH133">
        <v>16</v>
      </c>
      <c r="CU133" s="24"/>
      <c r="CV133">
        <v>1</v>
      </c>
      <c r="CW133">
        <v>1</v>
      </c>
      <c r="DK133" s="15"/>
      <c r="DL133" s="15"/>
    </row>
    <row r="134" spans="1:116" ht="15.75" customHeight="1">
      <c r="A134" s="53" t="s">
        <v>418</v>
      </c>
      <c r="B134" s="53"/>
      <c r="C134" s="53" t="e">
        <f>IF(AZ2&gt;0,$C97/AZ2,0)</f>
        <v>#REF!</v>
      </c>
      <c r="D134" t="s">
        <v>92</v>
      </c>
      <c r="BM134" t="s">
        <v>419</v>
      </c>
      <c r="BN134">
        <v>7.5</v>
      </c>
      <c r="BO134">
        <v>15000</v>
      </c>
      <c r="BP134">
        <v>600</v>
      </c>
      <c r="BQ134">
        <v>90</v>
      </c>
      <c r="BR134" s="23">
        <v>20</v>
      </c>
      <c r="BS134">
        <v>20</v>
      </c>
      <c r="CB134" s="57"/>
      <c r="CC134" s="57"/>
      <c r="CD134" s="57"/>
      <c r="CE134" s="57"/>
      <c r="CF134" s="58"/>
      <c r="CG134">
        <v>16</v>
      </c>
      <c r="CH134">
        <v>16</v>
      </c>
      <c r="CU134" s="24"/>
      <c r="CV134">
        <v>1</v>
      </c>
      <c r="CW134">
        <v>1</v>
      </c>
      <c r="DK134" s="41"/>
      <c r="DL134" s="41"/>
    </row>
    <row r="135" spans="1:116" ht="15.75" customHeight="1">
      <c r="BM135" t="s">
        <v>420</v>
      </c>
      <c r="BN135">
        <v>60</v>
      </c>
      <c r="BO135">
        <v>120000</v>
      </c>
      <c r="BP135">
        <v>1000</v>
      </c>
      <c r="BQ135">
        <v>200</v>
      </c>
      <c r="BR135" s="23">
        <v>50</v>
      </c>
      <c r="BS135">
        <v>50</v>
      </c>
      <c r="BT135">
        <v>50</v>
      </c>
      <c r="BU135">
        <v>50</v>
      </c>
      <c r="BV135">
        <v>50</v>
      </c>
      <c r="BW135">
        <v>50</v>
      </c>
      <c r="CF135" s="24"/>
      <c r="CG135" s="33">
        <v>40</v>
      </c>
      <c r="CH135" s="33">
        <v>40</v>
      </c>
      <c r="CI135" s="33">
        <v>40</v>
      </c>
      <c r="CJ135" s="33">
        <v>40</v>
      </c>
      <c r="CK135" s="33">
        <v>40</v>
      </c>
      <c r="CL135" s="33">
        <v>40</v>
      </c>
      <c r="CM135" s="33"/>
      <c r="CN135" s="33"/>
      <c r="CO135" s="33"/>
      <c r="CP135" s="33"/>
      <c r="CQ135" s="33"/>
      <c r="CR135" s="33"/>
      <c r="CS135" s="33"/>
      <c r="CT135" s="33"/>
      <c r="CU135" s="34"/>
      <c r="CV135">
        <v>2</v>
      </c>
      <c r="CW135">
        <v>2</v>
      </c>
      <c r="CX135">
        <v>2</v>
      </c>
      <c r="CY135">
        <v>2</v>
      </c>
      <c r="CZ135">
        <v>2</v>
      </c>
      <c r="DA135">
        <v>2</v>
      </c>
      <c r="DK135" s="15"/>
      <c r="DL135" s="15"/>
    </row>
    <row r="136" spans="1:116" ht="15.75" customHeight="1">
      <c r="BM136" t="s">
        <v>421</v>
      </c>
      <c r="BN136">
        <v>10</v>
      </c>
      <c r="BO136">
        <v>20000</v>
      </c>
      <c r="BP136">
        <v>600</v>
      </c>
      <c r="BQ136">
        <v>110</v>
      </c>
      <c r="BR136" s="13">
        <v>40</v>
      </c>
      <c r="BS136">
        <v>40</v>
      </c>
      <c r="CF136" s="14"/>
      <c r="CG136">
        <v>32</v>
      </c>
      <c r="CH136">
        <v>32</v>
      </c>
      <c r="CU136" s="14"/>
      <c r="CV136">
        <v>2</v>
      </c>
      <c r="CW136">
        <v>2</v>
      </c>
      <c r="DK136" s="41">
        <v>215049</v>
      </c>
      <c r="DL136" s="41" t="s">
        <v>516</v>
      </c>
    </row>
    <row r="137" spans="1:116" ht="15.75" customHeight="1">
      <c r="BM137" t="s">
        <v>422</v>
      </c>
      <c r="BN137">
        <v>12</v>
      </c>
      <c r="BO137">
        <v>24000</v>
      </c>
      <c r="BP137">
        <v>1000</v>
      </c>
      <c r="BQ137">
        <v>150</v>
      </c>
      <c r="BR137" s="13">
        <v>50</v>
      </c>
      <c r="BS137">
        <v>50</v>
      </c>
      <c r="CF137" s="14"/>
      <c r="CG137">
        <v>36</v>
      </c>
      <c r="CH137">
        <v>36</v>
      </c>
      <c r="CU137" s="14"/>
      <c r="CV137">
        <v>2</v>
      </c>
      <c r="CW137">
        <v>2</v>
      </c>
      <c r="DK137" s="15">
        <v>215050</v>
      </c>
      <c r="DL137" s="15" t="s">
        <v>516</v>
      </c>
    </row>
    <row r="138" spans="1:116" ht="15.75" customHeight="1">
      <c r="BM138" t="s">
        <v>423</v>
      </c>
      <c r="BN138">
        <v>15</v>
      </c>
      <c r="BO138">
        <v>30000</v>
      </c>
      <c r="BP138">
        <v>1000</v>
      </c>
      <c r="BQ138">
        <v>150</v>
      </c>
      <c r="BR138" s="13">
        <v>50</v>
      </c>
      <c r="BS138">
        <v>50</v>
      </c>
      <c r="CF138" s="14"/>
      <c r="CG138">
        <v>36</v>
      </c>
      <c r="CH138">
        <v>36</v>
      </c>
      <c r="CU138" s="14"/>
      <c r="CV138">
        <v>2</v>
      </c>
      <c r="CW138">
        <v>2</v>
      </c>
      <c r="DK138" s="41">
        <v>215051</v>
      </c>
      <c r="DL138" s="41" t="s">
        <v>516</v>
      </c>
    </row>
    <row r="139" spans="1:116" ht="15.75" customHeight="1">
      <c r="BM139" t="s">
        <v>424</v>
      </c>
      <c r="BN139">
        <v>20</v>
      </c>
      <c r="BO139">
        <v>40000</v>
      </c>
      <c r="BP139">
        <v>1000</v>
      </c>
      <c r="BQ139" s="14">
        <v>150</v>
      </c>
      <c r="BR139">
        <v>50</v>
      </c>
      <c r="BS139">
        <v>50</v>
      </c>
      <c r="CG139" s="13">
        <v>36</v>
      </c>
      <c r="CH139" s="13">
        <v>36</v>
      </c>
      <c r="CI139" s="13"/>
      <c r="CJ139" s="13"/>
      <c r="CK139" s="13"/>
      <c r="CL139" s="13"/>
      <c r="CM139" s="13"/>
      <c r="CN139" s="13"/>
      <c r="CU139" s="14"/>
      <c r="CV139">
        <v>2</v>
      </c>
      <c r="CW139">
        <v>2</v>
      </c>
      <c r="DK139" s="15">
        <v>215052</v>
      </c>
      <c r="DL139" s="15" t="s">
        <v>516</v>
      </c>
    </row>
    <row r="140" spans="1:116" ht="15.75" customHeight="1">
      <c r="BM140" t="s">
        <v>425</v>
      </c>
      <c r="BN140">
        <v>6</v>
      </c>
      <c r="BO140">
        <v>12000</v>
      </c>
      <c r="BP140">
        <v>550</v>
      </c>
      <c r="BQ140" s="14">
        <v>110</v>
      </c>
      <c r="BR140">
        <v>20</v>
      </c>
      <c r="BS140">
        <v>20</v>
      </c>
      <c r="CG140" s="13">
        <v>16</v>
      </c>
      <c r="CH140">
        <v>16</v>
      </c>
      <c r="CU140" s="14"/>
      <c r="CV140">
        <v>1</v>
      </c>
      <c r="CW140">
        <v>1</v>
      </c>
      <c r="DK140" s="41">
        <v>123552</v>
      </c>
      <c r="DL140" s="41" t="s">
        <v>516</v>
      </c>
    </row>
    <row r="141" spans="1:116" ht="15.75" customHeight="1">
      <c r="BM141" t="s">
        <v>426</v>
      </c>
      <c r="BN141">
        <v>110</v>
      </c>
      <c r="BO141">
        <v>165000</v>
      </c>
      <c r="BP141">
        <v>1100</v>
      </c>
      <c r="BQ141" s="24">
        <v>195</v>
      </c>
      <c r="BR141" s="33">
        <v>40</v>
      </c>
      <c r="BS141" s="33">
        <v>40</v>
      </c>
      <c r="BT141" s="33">
        <v>40</v>
      </c>
      <c r="BU141" s="33">
        <v>40</v>
      </c>
      <c r="BV141" s="33">
        <v>40</v>
      </c>
      <c r="BW141" s="33">
        <v>40</v>
      </c>
      <c r="BX141" s="33">
        <v>40</v>
      </c>
      <c r="BY141" s="33">
        <v>40</v>
      </c>
      <c r="BZ141" s="33">
        <v>40</v>
      </c>
      <c r="CA141" s="33">
        <v>40</v>
      </c>
      <c r="CB141" s="33"/>
      <c r="CC141" s="33"/>
      <c r="CD141" s="33"/>
      <c r="CE141" s="33"/>
      <c r="CF141" s="33"/>
      <c r="CG141" s="39">
        <v>26</v>
      </c>
      <c r="CH141" s="33">
        <v>26</v>
      </c>
      <c r="CI141" s="33">
        <v>26</v>
      </c>
      <c r="CJ141" s="33">
        <v>26</v>
      </c>
      <c r="CK141" s="33">
        <v>26</v>
      </c>
      <c r="CL141" s="33">
        <v>26</v>
      </c>
      <c r="CM141" s="33">
        <v>26</v>
      </c>
      <c r="CN141" s="33">
        <v>26</v>
      </c>
      <c r="CO141" s="33">
        <v>26</v>
      </c>
      <c r="CP141" s="33">
        <v>26</v>
      </c>
      <c r="CQ141" s="33"/>
      <c r="CR141" s="33"/>
      <c r="CS141" s="33"/>
      <c r="CT141" s="33"/>
      <c r="CU141" s="34"/>
      <c r="CV141">
        <v>2</v>
      </c>
      <c r="CW141">
        <v>2</v>
      </c>
      <c r="CX141">
        <v>2</v>
      </c>
      <c r="CY141">
        <v>2</v>
      </c>
      <c r="CZ141">
        <v>2</v>
      </c>
      <c r="DA141">
        <v>2</v>
      </c>
      <c r="DB141">
        <v>2</v>
      </c>
      <c r="DC141">
        <v>2</v>
      </c>
      <c r="DD141">
        <v>2</v>
      </c>
      <c r="DE141">
        <v>2</v>
      </c>
      <c r="DK141" s="15">
        <v>7490</v>
      </c>
      <c r="DL141" s="15"/>
    </row>
    <row r="142" spans="1:116" ht="15.75" customHeight="1">
      <c r="BM142" t="s">
        <v>427</v>
      </c>
      <c r="BN142">
        <v>110</v>
      </c>
      <c r="BO142">
        <v>165000</v>
      </c>
      <c r="BP142">
        <v>1100</v>
      </c>
      <c r="BQ142" s="24">
        <v>180</v>
      </c>
      <c r="BR142" s="33">
        <v>50</v>
      </c>
      <c r="BS142" s="33">
        <v>50</v>
      </c>
      <c r="BT142" s="33">
        <v>50</v>
      </c>
      <c r="BU142" s="33">
        <v>50</v>
      </c>
      <c r="BV142" s="33">
        <v>50</v>
      </c>
      <c r="BW142" s="33">
        <v>50</v>
      </c>
      <c r="BX142" s="33">
        <v>50</v>
      </c>
      <c r="BY142" s="33">
        <v>50</v>
      </c>
      <c r="BZ142" s="33"/>
      <c r="CA142" s="33"/>
      <c r="CB142" s="33"/>
      <c r="CC142" s="33"/>
      <c r="CD142" s="33"/>
      <c r="CE142" s="33"/>
      <c r="CF142" s="33"/>
      <c r="CG142" s="39">
        <v>36</v>
      </c>
      <c r="CH142" s="33">
        <v>32</v>
      </c>
      <c r="CI142" s="33">
        <v>36</v>
      </c>
      <c r="CJ142" s="33">
        <v>32</v>
      </c>
      <c r="CK142" s="33">
        <v>36</v>
      </c>
      <c r="CL142" s="33">
        <v>32</v>
      </c>
      <c r="CM142" s="33">
        <v>36</v>
      </c>
      <c r="CN142" s="33">
        <v>32</v>
      </c>
      <c r="CO142" s="33"/>
      <c r="CP142" s="33"/>
      <c r="CQ142" s="33"/>
      <c r="CR142" s="33"/>
      <c r="CS142" s="33"/>
      <c r="CT142" s="33"/>
      <c r="CU142" s="34"/>
      <c r="CV142">
        <v>2</v>
      </c>
      <c r="CW142">
        <v>2</v>
      </c>
      <c r="CX142">
        <v>2</v>
      </c>
      <c r="CY142">
        <v>2</v>
      </c>
      <c r="CZ142">
        <v>2</v>
      </c>
      <c r="DA142">
        <v>2</v>
      </c>
      <c r="DB142">
        <v>2</v>
      </c>
      <c r="DC142">
        <v>2</v>
      </c>
      <c r="DK142" s="41"/>
      <c r="DL142" s="41"/>
    </row>
    <row r="143" spans="1:116" ht="15.75" customHeight="1">
      <c r="BM143" t="s">
        <v>428</v>
      </c>
      <c r="BN143">
        <v>125</v>
      </c>
      <c r="BO143">
        <v>187500</v>
      </c>
      <c r="BP143">
        <v>1500</v>
      </c>
      <c r="BQ143" s="14">
        <v>950</v>
      </c>
      <c r="BR143">
        <v>300</v>
      </c>
      <c r="CG143" s="13">
        <v>150</v>
      </c>
      <c r="CU143" s="14"/>
      <c r="CV143">
        <v>20</v>
      </c>
      <c r="DK143" s="15"/>
      <c r="DL143" s="15"/>
    </row>
    <row r="144" spans="1:116" ht="15.75" customHeight="1">
      <c r="BM144" t="s">
        <v>429</v>
      </c>
      <c r="BN144">
        <v>15</v>
      </c>
      <c r="BO144">
        <v>22500</v>
      </c>
      <c r="BP144">
        <v>1000</v>
      </c>
      <c r="BQ144" s="14">
        <v>180</v>
      </c>
      <c r="BR144" s="33">
        <v>34.299999999999997</v>
      </c>
      <c r="BS144" s="33">
        <v>34.299999999999997</v>
      </c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9">
        <v>22</v>
      </c>
      <c r="CH144" s="39">
        <v>22</v>
      </c>
      <c r="CI144" s="39"/>
      <c r="CJ144" s="39"/>
      <c r="CK144" s="39"/>
      <c r="CL144" s="39"/>
      <c r="CM144" s="39"/>
      <c r="CN144" s="39"/>
      <c r="CO144" s="33"/>
      <c r="CP144" s="33"/>
      <c r="CQ144" s="33"/>
      <c r="CR144" s="33"/>
      <c r="CS144" s="33"/>
      <c r="CT144" s="33"/>
      <c r="CU144" s="34"/>
      <c r="CV144">
        <v>2</v>
      </c>
      <c r="CW144">
        <v>2</v>
      </c>
      <c r="DK144" s="41"/>
      <c r="DL144" s="41"/>
    </row>
    <row r="145" spans="65:116" ht="15.75" customHeight="1">
      <c r="BM145" t="s">
        <v>430</v>
      </c>
      <c r="BN145">
        <v>7.7</v>
      </c>
      <c r="BO145">
        <f>$BN145*2*1000</f>
        <v>15400</v>
      </c>
      <c r="BP145">
        <v>600</v>
      </c>
      <c r="BQ145" s="14">
        <v>120</v>
      </c>
      <c r="BR145" s="33">
        <v>19.5</v>
      </c>
      <c r="BS145" s="33">
        <v>30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9">
        <v>12.5</v>
      </c>
      <c r="CH145" s="33">
        <v>25</v>
      </c>
      <c r="CI145" s="33"/>
      <c r="CJ145" s="33"/>
      <c r="CK145" s="33"/>
      <c r="CL145" s="33"/>
      <c r="CM145" s="33"/>
      <c r="CN145" s="33"/>
      <c r="CO145" s="33"/>
      <c r="CP145" s="33"/>
      <c r="CQ145" s="33"/>
      <c r="CR145" s="33"/>
      <c r="CS145" s="33"/>
      <c r="CT145" s="33"/>
      <c r="CU145" s="34"/>
      <c r="CV145">
        <v>1</v>
      </c>
      <c r="CW145">
        <v>2</v>
      </c>
      <c r="DK145" s="15"/>
      <c r="DL145" s="15"/>
    </row>
    <row r="146" spans="65:116" ht="15.75" customHeight="1">
      <c r="BM146" t="s">
        <v>431</v>
      </c>
      <c r="BN146">
        <v>7</v>
      </c>
      <c r="BO146">
        <v>14000</v>
      </c>
      <c r="BP146">
        <v>600</v>
      </c>
      <c r="BQ146" s="14">
        <v>120</v>
      </c>
      <c r="BR146">
        <v>19.5</v>
      </c>
      <c r="BS146">
        <v>30</v>
      </c>
      <c r="CG146" s="13">
        <v>12.5</v>
      </c>
      <c r="CH146">
        <v>25</v>
      </c>
      <c r="CU146" s="14"/>
      <c r="CV146">
        <v>1</v>
      </c>
      <c r="CW146">
        <v>2</v>
      </c>
      <c r="DK146" s="41"/>
      <c r="DL146" s="41"/>
    </row>
    <row r="147" spans="65:116" ht="15.75" customHeight="1">
      <c r="BM147" t="s">
        <v>432</v>
      </c>
      <c r="BN147">
        <v>25</v>
      </c>
      <c r="BO147">
        <v>37500</v>
      </c>
      <c r="BP147">
        <v>1100</v>
      </c>
      <c r="BQ147" s="14">
        <v>200</v>
      </c>
      <c r="BR147" s="33">
        <v>40</v>
      </c>
      <c r="BS147" s="33">
        <v>40</v>
      </c>
      <c r="BT147" s="33">
        <v>40</v>
      </c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9">
        <v>26</v>
      </c>
      <c r="CH147" s="33">
        <v>26</v>
      </c>
      <c r="CI147" s="33">
        <v>26</v>
      </c>
      <c r="CJ147" s="33"/>
      <c r="CK147" s="33"/>
      <c r="CL147" s="33"/>
      <c r="CM147" s="33"/>
      <c r="CN147" s="33"/>
      <c r="CO147" s="33"/>
      <c r="CP147" s="33"/>
      <c r="CQ147" s="33"/>
      <c r="CR147" s="33"/>
      <c r="CS147" s="33"/>
      <c r="CT147" s="33"/>
      <c r="CU147" s="34"/>
      <c r="CV147">
        <v>2</v>
      </c>
      <c r="CW147">
        <v>2</v>
      </c>
      <c r="CX147">
        <v>2</v>
      </c>
      <c r="DK147" s="15"/>
      <c r="DL147" s="15"/>
    </row>
    <row r="148" spans="65:116" ht="15.75" customHeight="1">
      <c r="BM148" t="s">
        <v>433</v>
      </c>
      <c r="BN148">
        <v>30</v>
      </c>
      <c r="BO148">
        <v>45000</v>
      </c>
      <c r="BP148">
        <v>1100</v>
      </c>
      <c r="BQ148" s="14">
        <v>200</v>
      </c>
      <c r="BR148" s="33">
        <v>40</v>
      </c>
      <c r="BS148" s="33">
        <v>40</v>
      </c>
      <c r="BT148" s="33">
        <v>40</v>
      </c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9">
        <v>26</v>
      </c>
      <c r="CH148" s="33">
        <v>26</v>
      </c>
      <c r="CI148" s="33">
        <v>26</v>
      </c>
      <c r="CJ148" s="33"/>
      <c r="CK148" s="33"/>
      <c r="CL148" s="33"/>
      <c r="CM148" s="33"/>
      <c r="CN148" s="33"/>
      <c r="CO148" s="33"/>
      <c r="CP148" s="33"/>
      <c r="CQ148" s="33"/>
      <c r="CR148" s="33"/>
      <c r="CS148" s="33"/>
      <c r="CT148" s="33"/>
      <c r="CU148" s="34"/>
      <c r="CV148">
        <v>2</v>
      </c>
      <c r="CW148">
        <v>2</v>
      </c>
      <c r="CX148">
        <v>2</v>
      </c>
      <c r="DK148" s="41"/>
      <c r="DL148" s="41"/>
    </row>
    <row r="149" spans="65:116" ht="15.75" customHeight="1">
      <c r="BM149" t="s">
        <v>434</v>
      </c>
      <c r="BN149">
        <v>50</v>
      </c>
      <c r="BO149">
        <v>75000</v>
      </c>
      <c r="BP149">
        <v>1100</v>
      </c>
      <c r="BQ149" s="14">
        <v>200</v>
      </c>
      <c r="BR149" s="33">
        <v>44.5</v>
      </c>
      <c r="BS149" s="33">
        <v>44.5</v>
      </c>
      <c r="BT149" s="33">
        <v>44.5</v>
      </c>
      <c r="BU149" s="33">
        <v>44.5</v>
      </c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9">
        <v>28.5</v>
      </c>
      <c r="CH149" s="33">
        <v>28.5</v>
      </c>
      <c r="CI149" s="33">
        <v>28.5</v>
      </c>
      <c r="CJ149" s="33">
        <v>28.5</v>
      </c>
      <c r="CK149" s="33"/>
      <c r="CL149" s="33"/>
      <c r="CM149" s="33"/>
      <c r="CN149" s="33"/>
      <c r="CO149" s="33"/>
      <c r="CP149" s="33"/>
      <c r="CQ149" s="33"/>
      <c r="CR149" s="33"/>
      <c r="CS149" s="33"/>
      <c r="CT149" s="33"/>
      <c r="CU149" s="34"/>
      <c r="CV149">
        <v>3</v>
      </c>
      <c r="CW149">
        <v>3</v>
      </c>
      <c r="CX149">
        <v>3</v>
      </c>
      <c r="CY149">
        <v>3</v>
      </c>
      <c r="DK149" s="15"/>
      <c r="DL149" s="15"/>
    </row>
    <row r="150" spans="65:116" ht="15.75" customHeight="1">
      <c r="BM150" t="s">
        <v>435</v>
      </c>
      <c r="BN150">
        <v>60</v>
      </c>
      <c r="BO150">
        <v>90000</v>
      </c>
      <c r="BP150">
        <v>1100</v>
      </c>
      <c r="BQ150" s="14">
        <v>200</v>
      </c>
      <c r="BR150" s="33">
        <v>44.5</v>
      </c>
      <c r="BS150" s="33">
        <v>44.5</v>
      </c>
      <c r="BT150" s="33">
        <v>44.5</v>
      </c>
      <c r="BU150" s="33">
        <v>44.5</v>
      </c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9">
        <v>28.5</v>
      </c>
      <c r="CH150" s="33">
        <v>28.5</v>
      </c>
      <c r="CI150" s="33">
        <v>28.5</v>
      </c>
      <c r="CJ150" s="33">
        <v>28.5</v>
      </c>
      <c r="CK150" s="33"/>
      <c r="CL150" s="33"/>
      <c r="CM150" s="33"/>
      <c r="CN150" s="33"/>
      <c r="CO150" s="33"/>
      <c r="CP150" s="33"/>
      <c r="CQ150" s="33"/>
      <c r="CR150" s="33"/>
      <c r="CS150" s="33"/>
      <c r="CT150" s="33"/>
      <c r="CU150" s="34"/>
      <c r="CV150">
        <v>3</v>
      </c>
      <c r="CW150">
        <v>3</v>
      </c>
      <c r="CX150">
        <v>3</v>
      </c>
      <c r="CY150">
        <v>3</v>
      </c>
      <c r="DK150" s="41"/>
      <c r="DL150" s="41"/>
    </row>
    <row r="151" spans="65:116" ht="15.75" customHeight="1">
      <c r="BM151" t="s">
        <v>436</v>
      </c>
      <c r="BN151">
        <v>75</v>
      </c>
      <c r="BO151">
        <v>126000</v>
      </c>
      <c r="BP151">
        <v>1100</v>
      </c>
      <c r="BQ151" s="14">
        <v>195</v>
      </c>
      <c r="BR151" s="33">
        <v>40</v>
      </c>
      <c r="BS151" s="33">
        <v>40</v>
      </c>
      <c r="BT151" s="33">
        <v>40</v>
      </c>
      <c r="BU151" s="33">
        <v>40</v>
      </c>
      <c r="BV151" s="33">
        <v>40</v>
      </c>
      <c r="BW151" s="33">
        <v>40</v>
      </c>
      <c r="BX151" s="33">
        <v>40</v>
      </c>
      <c r="BY151" s="33">
        <v>40</v>
      </c>
      <c r="BZ151" s="33">
        <v>40</v>
      </c>
      <c r="CA151" s="33"/>
      <c r="CB151" s="33"/>
      <c r="CC151" s="33"/>
      <c r="CD151" s="33"/>
      <c r="CE151" s="33"/>
      <c r="CF151" s="33"/>
      <c r="CG151" s="39">
        <v>26</v>
      </c>
      <c r="CH151" s="33">
        <v>26</v>
      </c>
      <c r="CI151" s="33">
        <v>26</v>
      </c>
      <c r="CJ151" s="33">
        <v>26</v>
      </c>
      <c r="CK151" s="33">
        <v>26</v>
      </c>
      <c r="CL151" s="33">
        <v>26</v>
      </c>
      <c r="CM151" s="33">
        <v>26</v>
      </c>
      <c r="CN151" s="33">
        <v>26</v>
      </c>
      <c r="CO151" s="33">
        <v>26</v>
      </c>
      <c r="CP151" s="33"/>
      <c r="CQ151" s="33"/>
      <c r="CR151" s="33"/>
      <c r="CS151" s="33"/>
      <c r="CT151" s="33"/>
      <c r="CU151" s="34"/>
      <c r="CV151">
        <v>2</v>
      </c>
      <c r="CW151">
        <v>2</v>
      </c>
      <c r="CX151">
        <v>2</v>
      </c>
      <c r="CY151">
        <v>2</v>
      </c>
      <c r="CZ151">
        <v>2</v>
      </c>
      <c r="DA151">
        <v>2</v>
      </c>
      <c r="DB151">
        <v>2</v>
      </c>
      <c r="DC151">
        <v>2</v>
      </c>
      <c r="DD151">
        <v>2</v>
      </c>
      <c r="DK151" s="15"/>
      <c r="DL151" s="15"/>
    </row>
    <row r="152" spans="65:116" ht="15.75" customHeight="1">
      <c r="BM152" t="s">
        <v>437</v>
      </c>
      <c r="BN152">
        <v>75</v>
      </c>
      <c r="BO152">
        <v>150000</v>
      </c>
      <c r="BP152">
        <v>1100</v>
      </c>
      <c r="BQ152" s="14">
        <v>180</v>
      </c>
      <c r="BR152" s="33">
        <v>50</v>
      </c>
      <c r="BS152" s="33">
        <v>50</v>
      </c>
      <c r="BT152" s="33">
        <v>50</v>
      </c>
      <c r="BU152" s="33">
        <v>50</v>
      </c>
      <c r="BV152" s="33">
        <v>50</v>
      </c>
      <c r="BW152" s="33">
        <v>50</v>
      </c>
      <c r="BX152" s="33"/>
      <c r="BY152" s="33"/>
      <c r="BZ152" s="33"/>
      <c r="CA152" s="33"/>
      <c r="CB152" s="33"/>
      <c r="CC152" s="33"/>
      <c r="CD152" s="33"/>
      <c r="CE152" s="33"/>
      <c r="CF152" s="33"/>
      <c r="CG152" s="39">
        <v>40</v>
      </c>
      <c r="CH152" s="33">
        <v>32</v>
      </c>
      <c r="CI152" s="33">
        <v>40</v>
      </c>
      <c r="CJ152" s="33">
        <v>32</v>
      </c>
      <c r="CK152" s="33">
        <v>40</v>
      </c>
      <c r="CL152" s="33">
        <v>32</v>
      </c>
      <c r="CM152" s="33"/>
      <c r="CN152" s="33"/>
      <c r="CO152" s="33"/>
      <c r="CP152" s="33"/>
      <c r="CQ152" s="33"/>
      <c r="CR152" s="33"/>
      <c r="CS152" s="33"/>
      <c r="CT152" s="33"/>
      <c r="CU152" s="34"/>
      <c r="CV152">
        <v>2</v>
      </c>
      <c r="CW152">
        <v>2</v>
      </c>
      <c r="CX152">
        <v>2</v>
      </c>
      <c r="CY152">
        <v>2</v>
      </c>
      <c r="CZ152">
        <v>2</v>
      </c>
      <c r="DA152">
        <v>2</v>
      </c>
      <c r="DK152" s="41">
        <v>88619</v>
      </c>
      <c r="DL152" s="41" t="s">
        <v>516</v>
      </c>
    </row>
    <row r="153" spans="65:116" ht="15.75" customHeight="1">
      <c r="BM153" t="s">
        <v>438</v>
      </c>
      <c r="BN153">
        <v>75</v>
      </c>
      <c r="BO153">
        <f>$BN153*1.5*1000</f>
        <v>112500</v>
      </c>
      <c r="BP153">
        <v>1100</v>
      </c>
      <c r="BQ153" s="14">
        <v>180</v>
      </c>
      <c r="BR153" s="33">
        <v>50</v>
      </c>
      <c r="BS153" s="33">
        <v>50</v>
      </c>
      <c r="BT153" s="33">
        <v>50</v>
      </c>
      <c r="BU153" s="33">
        <v>50</v>
      </c>
      <c r="BV153" s="33">
        <v>50</v>
      </c>
      <c r="BW153" s="33">
        <v>50</v>
      </c>
      <c r="BX153" s="33"/>
      <c r="BY153" s="33"/>
      <c r="BZ153" s="33"/>
      <c r="CA153" s="33"/>
      <c r="CB153" s="33"/>
      <c r="CC153" s="33"/>
      <c r="CD153" s="33"/>
      <c r="CE153" s="33"/>
      <c r="CF153" s="33"/>
      <c r="CG153" s="39">
        <v>40</v>
      </c>
      <c r="CH153" s="33">
        <v>32</v>
      </c>
      <c r="CI153" s="33">
        <v>40</v>
      </c>
      <c r="CJ153" s="33">
        <v>32</v>
      </c>
      <c r="CK153" s="33">
        <v>40</v>
      </c>
      <c r="CL153" s="33">
        <v>32</v>
      </c>
      <c r="CM153" s="33"/>
      <c r="CN153" s="33"/>
      <c r="CO153" s="33"/>
      <c r="CP153" s="33"/>
      <c r="CQ153" s="33"/>
      <c r="CR153" s="33"/>
      <c r="CS153" s="33"/>
      <c r="CT153" s="33"/>
      <c r="CU153" s="34"/>
      <c r="CV153">
        <v>2</v>
      </c>
      <c r="CW153">
        <v>2</v>
      </c>
      <c r="CX153">
        <v>2</v>
      </c>
      <c r="CY153">
        <v>2</v>
      </c>
      <c r="CZ153">
        <v>2</v>
      </c>
      <c r="DA153">
        <v>2</v>
      </c>
      <c r="DK153" s="15"/>
      <c r="DL153" s="15"/>
    </row>
    <row r="154" spans="65:116" ht="15.75" customHeight="1">
      <c r="BM154" t="s">
        <v>439</v>
      </c>
      <c r="BN154">
        <v>8</v>
      </c>
      <c r="BO154">
        <v>12000</v>
      </c>
      <c r="BP154">
        <v>600</v>
      </c>
      <c r="BQ154" s="14">
        <v>120</v>
      </c>
      <c r="BR154" s="33">
        <v>15.6</v>
      </c>
      <c r="BS154" s="33">
        <v>15.6</v>
      </c>
      <c r="BT154" s="33">
        <v>15.6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9">
        <v>10</v>
      </c>
      <c r="CH154" s="33">
        <v>10</v>
      </c>
      <c r="CI154" s="33">
        <v>10</v>
      </c>
      <c r="CJ154" s="33"/>
      <c r="CK154" s="33"/>
      <c r="CL154" s="33"/>
      <c r="CM154" s="33"/>
      <c r="CN154" s="33"/>
      <c r="CO154" s="33"/>
      <c r="CP154" s="33"/>
      <c r="CQ154" s="33"/>
      <c r="CR154" s="33"/>
      <c r="CS154" s="33"/>
      <c r="CT154" s="33"/>
      <c r="CU154" s="34"/>
      <c r="CV154">
        <v>1</v>
      </c>
      <c r="CW154">
        <v>1</v>
      </c>
      <c r="CX154">
        <v>1</v>
      </c>
      <c r="DK154" s="41"/>
      <c r="DL154" s="41"/>
    </row>
    <row r="155" spans="65:116" ht="15.75" customHeight="1">
      <c r="BM155" t="s">
        <v>440</v>
      </c>
      <c r="BN155">
        <v>37.5</v>
      </c>
      <c r="BO155">
        <f>$BN155*2*1000</f>
        <v>75000</v>
      </c>
      <c r="BP155">
        <v>1100</v>
      </c>
      <c r="BQ155" s="14">
        <v>200</v>
      </c>
      <c r="BR155" s="33">
        <v>40</v>
      </c>
      <c r="BS155" s="33">
        <v>40</v>
      </c>
      <c r="BT155" s="33">
        <v>40</v>
      </c>
      <c r="BU155" s="33">
        <v>40</v>
      </c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9">
        <v>32</v>
      </c>
      <c r="CH155" s="33">
        <v>32</v>
      </c>
      <c r="CI155" s="33">
        <v>32</v>
      </c>
      <c r="CJ155" s="33">
        <v>32</v>
      </c>
      <c r="CK155" s="33"/>
      <c r="CL155" s="33"/>
      <c r="CM155" s="33"/>
      <c r="CN155" s="33"/>
      <c r="CO155" s="33"/>
      <c r="CP155" s="33"/>
      <c r="CQ155" s="33"/>
      <c r="CR155" s="33"/>
      <c r="CS155" s="33"/>
      <c r="CT155" s="33"/>
      <c r="CU155" s="34"/>
      <c r="CV155">
        <v>2</v>
      </c>
      <c r="CW155">
        <v>2</v>
      </c>
      <c r="CX155">
        <v>2</v>
      </c>
      <c r="CY155">
        <v>2</v>
      </c>
      <c r="DK155" s="15">
        <v>75607</v>
      </c>
      <c r="DL155" s="15" t="s">
        <v>516</v>
      </c>
    </row>
    <row r="156" spans="65:116" ht="15.75" customHeight="1">
      <c r="BM156" t="s">
        <v>441</v>
      </c>
      <c r="BN156">
        <v>37.5</v>
      </c>
      <c r="BO156">
        <f>$BN156*1.5*1000</f>
        <v>56250</v>
      </c>
      <c r="BP156">
        <v>1100</v>
      </c>
      <c r="BQ156" s="14">
        <v>200</v>
      </c>
      <c r="BR156" s="33">
        <v>40</v>
      </c>
      <c r="BS156" s="33">
        <v>40</v>
      </c>
      <c r="BT156" s="33">
        <v>40</v>
      </c>
      <c r="BU156" s="33">
        <v>40</v>
      </c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9">
        <v>32</v>
      </c>
      <c r="CH156" s="33">
        <v>32</v>
      </c>
      <c r="CI156" s="33">
        <v>32</v>
      </c>
      <c r="CJ156" s="33">
        <v>32</v>
      </c>
      <c r="CK156" s="33"/>
      <c r="CL156" s="33"/>
      <c r="CM156" s="33"/>
      <c r="CN156" s="33"/>
      <c r="CO156" s="33"/>
      <c r="CP156" s="33"/>
      <c r="CQ156" s="33"/>
      <c r="CR156" s="33"/>
      <c r="CS156" s="33"/>
      <c r="CT156" s="33"/>
      <c r="CU156" s="34"/>
      <c r="CV156">
        <v>2</v>
      </c>
      <c r="CW156">
        <v>2</v>
      </c>
      <c r="CX156">
        <v>2</v>
      </c>
      <c r="CY156">
        <v>2</v>
      </c>
      <c r="DK156" s="41"/>
      <c r="DL156" s="41"/>
    </row>
    <row r="157" spans="65:116" ht="15.75" customHeight="1">
      <c r="BM157" t="s">
        <v>442</v>
      </c>
      <c r="BN157">
        <v>60</v>
      </c>
      <c r="BO157">
        <f>Table_2[[#This Row],[Pnom]]*2*1000</f>
        <v>120000</v>
      </c>
      <c r="BP157">
        <v>1100</v>
      </c>
      <c r="BQ157" s="14">
        <v>195</v>
      </c>
      <c r="BR157" s="33">
        <v>40</v>
      </c>
      <c r="BS157" s="33">
        <v>40</v>
      </c>
      <c r="BT157" s="33">
        <v>40</v>
      </c>
      <c r="BU157" s="33">
        <v>40</v>
      </c>
      <c r="BV157" s="33">
        <v>40</v>
      </c>
      <c r="BW157" s="33">
        <v>40</v>
      </c>
      <c r="BX157" s="33"/>
      <c r="BY157" s="33"/>
      <c r="BZ157" s="33"/>
      <c r="CA157" s="33"/>
      <c r="CB157" s="33"/>
      <c r="CC157" s="33"/>
      <c r="CD157" s="33"/>
      <c r="CE157" s="33"/>
      <c r="CF157" s="33"/>
      <c r="CG157" s="39">
        <v>32</v>
      </c>
      <c r="CH157" s="33">
        <v>32</v>
      </c>
      <c r="CI157" s="33">
        <v>32</v>
      </c>
      <c r="CJ157" s="33">
        <v>32</v>
      </c>
      <c r="CK157" s="33">
        <v>32</v>
      </c>
      <c r="CL157" s="33">
        <v>32</v>
      </c>
      <c r="CM157" s="33"/>
      <c r="CN157" s="33"/>
      <c r="CO157" s="33"/>
      <c r="CP157" s="33"/>
      <c r="CQ157" s="33"/>
      <c r="CR157" s="33"/>
      <c r="CS157" s="33"/>
      <c r="CT157" s="33"/>
      <c r="CU157" s="34"/>
      <c r="CV157">
        <v>2</v>
      </c>
      <c r="CW157">
        <v>2</v>
      </c>
      <c r="CX157">
        <v>2</v>
      </c>
      <c r="CY157">
        <v>2</v>
      </c>
      <c r="CZ157">
        <v>2</v>
      </c>
      <c r="DA157">
        <v>2</v>
      </c>
      <c r="DK157" s="15">
        <v>83337</v>
      </c>
      <c r="DL157" s="15" t="s">
        <v>516</v>
      </c>
    </row>
    <row r="158" spans="65:116" ht="15.75" customHeight="1">
      <c r="BM158" t="s">
        <v>443</v>
      </c>
      <c r="BN158">
        <v>60</v>
      </c>
      <c r="BO158">
        <f>Table_2[[#This Row],[Pnom]]*1.5*1000</f>
        <v>90000</v>
      </c>
      <c r="BP158">
        <v>1100</v>
      </c>
      <c r="BQ158" s="14">
        <v>195</v>
      </c>
      <c r="BR158" s="33">
        <v>40</v>
      </c>
      <c r="BS158" s="33">
        <v>40</v>
      </c>
      <c r="BT158" s="33">
        <v>40</v>
      </c>
      <c r="BU158" s="33">
        <v>40</v>
      </c>
      <c r="BV158" s="33">
        <v>40</v>
      </c>
      <c r="BW158" s="33">
        <v>40</v>
      </c>
      <c r="BX158" s="33"/>
      <c r="BY158" s="33"/>
      <c r="BZ158" s="33"/>
      <c r="CA158" s="33"/>
      <c r="CB158" s="33"/>
      <c r="CC158" s="33"/>
      <c r="CD158" s="33"/>
      <c r="CE158" s="33"/>
      <c r="CF158" s="33"/>
      <c r="CG158" s="39">
        <v>32</v>
      </c>
      <c r="CH158" s="33">
        <v>32</v>
      </c>
      <c r="CI158" s="33">
        <v>32</v>
      </c>
      <c r="CJ158" s="33">
        <v>32</v>
      </c>
      <c r="CK158" s="33">
        <v>32</v>
      </c>
      <c r="CL158" s="33">
        <v>32</v>
      </c>
      <c r="CM158" s="33"/>
      <c r="CN158" s="33"/>
      <c r="CO158" s="33"/>
      <c r="CP158" s="33"/>
      <c r="CQ158" s="33"/>
      <c r="CR158" s="33"/>
      <c r="CS158" s="33"/>
      <c r="CT158" s="33"/>
      <c r="CU158" s="34"/>
      <c r="CV158">
        <v>2</v>
      </c>
      <c r="CW158">
        <v>2</v>
      </c>
      <c r="CX158">
        <v>2</v>
      </c>
      <c r="CY158">
        <v>2</v>
      </c>
      <c r="CZ158">
        <v>2</v>
      </c>
      <c r="DA158">
        <v>2</v>
      </c>
      <c r="DK158" s="41"/>
      <c r="DL158" s="41"/>
    </row>
    <row r="159" spans="65:116" ht="15.75" customHeight="1">
      <c r="BM159" t="s">
        <v>444</v>
      </c>
      <c r="BN159">
        <v>25</v>
      </c>
      <c r="BO159">
        <v>42500</v>
      </c>
      <c r="BP159">
        <v>1100</v>
      </c>
      <c r="BQ159" s="14">
        <v>180</v>
      </c>
      <c r="BR159">
        <v>40</v>
      </c>
      <c r="BS159">
        <v>40</v>
      </c>
      <c r="BT159">
        <v>40</v>
      </c>
      <c r="CG159" s="13">
        <v>32</v>
      </c>
      <c r="CH159">
        <v>32</v>
      </c>
      <c r="CI159">
        <v>32</v>
      </c>
      <c r="CU159" s="14"/>
      <c r="CV159">
        <v>2</v>
      </c>
      <c r="CW159">
        <v>2</v>
      </c>
      <c r="CX159">
        <v>2</v>
      </c>
      <c r="DK159" s="15"/>
      <c r="DL159" s="15"/>
    </row>
    <row r="160" spans="65:116" ht="15.75" customHeight="1">
      <c r="BM160" t="s">
        <v>445</v>
      </c>
      <c r="BN160">
        <v>30</v>
      </c>
      <c r="BO160">
        <v>51000</v>
      </c>
      <c r="BP160">
        <v>1100</v>
      </c>
      <c r="BQ160" s="14">
        <v>195</v>
      </c>
      <c r="BR160">
        <v>40</v>
      </c>
      <c r="BS160">
        <v>40</v>
      </c>
      <c r="BT160">
        <v>40</v>
      </c>
      <c r="BU160">
        <v>40</v>
      </c>
      <c r="CG160" s="13">
        <v>32</v>
      </c>
      <c r="CH160">
        <v>32</v>
      </c>
      <c r="CI160">
        <v>32</v>
      </c>
      <c r="CJ160">
        <v>32</v>
      </c>
      <c r="CU160" s="14"/>
      <c r="CV160">
        <v>2</v>
      </c>
      <c r="CW160">
        <v>2</v>
      </c>
      <c r="CX160">
        <v>2</v>
      </c>
      <c r="CY160">
        <v>2</v>
      </c>
      <c r="DK160" s="41"/>
      <c r="DL160" s="41"/>
    </row>
    <row r="161" spans="65:116" ht="15.75" customHeight="1">
      <c r="BM161" t="s">
        <v>446</v>
      </c>
      <c r="BN161">
        <v>50</v>
      </c>
      <c r="BO161">
        <v>85000</v>
      </c>
      <c r="BP161">
        <v>1100</v>
      </c>
      <c r="BQ161" s="14">
        <v>195</v>
      </c>
      <c r="BR161">
        <v>40</v>
      </c>
      <c r="BS161">
        <v>40</v>
      </c>
      <c r="BT161">
        <v>40</v>
      </c>
      <c r="BU161">
        <v>40</v>
      </c>
      <c r="BV161">
        <v>40</v>
      </c>
      <c r="CG161" s="13">
        <v>32</v>
      </c>
      <c r="CH161">
        <v>32</v>
      </c>
      <c r="CI161">
        <v>32</v>
      </c>
      <c r="CJ161">
        <v>32</v>
      </c>
      <c r="CK161">
        <v>32</v>
      </c>
      <c r="CU161" s="14"/>
      <c r="CV161">
        <v>2</v>
      </c>
      <c r="CW161">
        <v>2</v>
      </c>
      <c r="CX161">
        <v>2</v>
      </c>
      <c r="CY161">
        <v>2</v>
      </c>
      <c r="CZ161">
        <v>2</v>
      </c>
      <c r="DK161" s="15"/>
      <c r="DL161" s="15"/>
    </row>
    <row r="162" spans="65:116" ht="15.75" customHeight="1">
      <c r="BM162" t="s">
        <v>447</v>
      </c>
      <c r="BN162">
        <v>20</v>
      </c>
      <c r="BO162">
        <v>34000</v>
      </c>
      <c r="BP162">
        <v>1100</v>
      </c>
      <c r="BQ162" s="14">
        <v>180</v>
      </c>
      <c r="BR162">
        <v>40</v>
      </c>
      <c r="BS162">
        <v>40</v>
      </c>
      <c r="CG162" s="13">
        <v>32</v>
      </c>
      <c r="CH162">
        <v>32</v>
      </c>
      <c r="CU162" s="14"/>
      <c r="CV162">
        <v>2</v>
      </c>
      <c r="CW162">
        <v>2</v>
      </c>
      <c r="DK162" s="41"/>
      <c r="DL162" s="41"/>
    </row>
    <row r="163" spans="65:116" ht="15.75" customHeight="1">
      <c r="BM163" t="s">
        <v>448</v>
      </c>
      <c r="BN163">
        <v>100</v>
      </c>
      <c r="BO163">
        <v>170000</v>
      </c>
      <c r="BP163">
        <v>1100</v>
      </c>
      <c r="BQ163" s="14">
        <v>180</v>
      </c>
      <c r="BR163">
        <v>50</v>
      </c>
      <c r="BS163">
        <v>50</v>
      </c>
      <c r="BT163">
        <v>50</v>
      </c>
      <c r="BU163">
        <v>50</v>
      </c>
      <c r="BV163">
        <v>50</v>
      </c>
      <c r="BW163">
        <v>50</v>
      </c>
      <c r="BX163">
        <v>50</v>
      </c>
      <c r="BY163">
        <v>50</v>
      </c>
      <c r="BZ163">
        <v>50</v>
      </c>
      <c r="CA163">
        <v>50</v>
      </c>
      <c r="CG163" s="13">
        <v>42</v>
      </c>
      <c r="CH163">
        <v>36</v>
      </c>
      <c r="CI163">
        <v>42</v>
      </c>
      <c r="CJ163">
        <v>36</v>
      </c>
      <c r="CK163">
        <v>42</v>
      </c>
      <c r="CL163">
        <v>36</v>
      </c>
      <c r="CM163">
        <v>42</v>
      </c>
      <c r="CN163">
        <v>36</v>
      </c>
      <c r="CO163">
        <v>42</v>
      </c>
      <c r="CP163">
        <v>36</v>
      </c>
      <c r="CU163" s="14"/>
      <c r="CV163">
        <v>2</v>
      </c>
      <c r="CW163">
        <v>2</v>
      </c>
      <c r="CX163">
        <v>2</v>
      </c>
      <c r="CY163">
        <v>2</v>
      </c>
      <c r="CZ163">
        <v>2</v>
      </c>
      <c r="DA163">
        <v>2</v>
      </c>
      <c r="DB163">
        <v>2</v>
      </c>
      <c r="DC163">
        <v>2</v>
      </c>
      <c r="DD163">
        <v>2</v>
      </c>
      <c r="DE163">
        <v>2</v>
      </c>
      <c r="DK163" s="15"/>
      <c r="DL163" s="15"/>
    </row>
    <row r="164" spans="65:116" ht="15.75" customHeight="1">
      <c r="BM164" t="s">
        <v>449</v>
      </c>
      <c r="BN164">
        <v>75</v>
      </c>
      <c r="BO164">
        <v>128000</v>
      </c>
      <c r="BP164">
        <v>1100</v>
      </c>
      <c r="BQ164" s="14">
        <v>180</v>
      </c>
      <c r="BR164" s="12">
        <v>50</v>
      </c>
      <c r="BS164">
        <v>50</v>
      </c>
      <c r="BT164">
        <v>50</v>
      </c>
      <c r="BU164">
        <v>50</v>
      </c>
      <c r="BV164">
        <v>50</v>
      </c>
      <c r="BW164">
        <v>50</v>
      </c>
      <c r="BX164">
        <v>50</v>
      </c>
      <c r="BY164">
        <v>50</v>
      </c>
      <c r="CG164" s="23">
        <v>42</v>
      </c>
      <c r="CH164">
        <v>36</v>
      </c>
      <c r="CI164">
        <v>42</v>
      </c>
      <c r="CJ164">
        <v>36</v>
      </c>
      <c r="CK164">
        <v>42</v>
      </c>
      <c r="CL164">
        <v>36</v>
      </c>
      <c r="CM164">
        <v>42</v>
      </c>
      <c r="CN164">
        <v>36</v>
      </c>
      <c r="CU164" s="24"/>
      <c r="CV164">
        <v>2</v>
      </c>
      <c r="CW164">
        <v>2</v>
      </c>
      <c r="CX164">
        <v>2</v>
      </c>
      <c r="CY164">
        <v>2</v>
      </c>
      <c r="CZ164">
        <v>2</v>
      </c>
      <c r="DA164">
        <v>2</v>
      </c>
      <c r="DB164">
        <v>2</v>
      </c>
      <c r="DC164">
        <v>2</v>
      </c>
      <c r="DK164" s="41"/>
      <c r="DL164" s="41"/>
    </row>
    <row r="165" spans="65:116" ht="15.75" customHeight="1">
      <c r="BM165" t="s">
        <v>450</v>
      </c>
      <c r="BN165">
        <v>5</v>
      </c>
      <c r="BO165">
        <v>8500</v>
      </c>
      <c r="BP165">
        <v>600</v>
      </c>
      <c r="BQ165" s="24">
        <v>120</v>
      </c>
      <c r="BR165" s="33">
        <v>22</v>
      </c>
      <c r="BS165" s="33">
        <v>22</v>
      </c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9">
        <v>14</v>
      </c>
      <c r="CH165" s="33">
        <v>14</v>
      </c>
      <c r="CI165" s="33"/>
      <c r="CJ165" s="33"/>
      <c r="CK165" s="33"/>
      <c r="CL165" s="33"/>
      <c r="CM165" s="33"/>
      <c r="CN165" s="33"/>
      <c r="CO165" s="33"/>
      <c r="CP165" s="33"/>
      <c r="CQ165" s="33"/>
      <c r="CR165" s="33"/>
      <c r="CS165" s="33"/>
      <c r="CT165" s="33"/>
      <c r="CU165" s="34"/>
      <c r="CV165">
        <v>1</v>
      </c>
      <c r="CW165">
        <v>1</v>
      </c>
      <c r="DK165" s="15"/>
      <c r="DL165" s="15"/>
    </row>
    <row r="166" spans="65:116" ht="15.75" customHeight="1">
      <c r="BM166" t="s">
        <v>451</v>
      </c>
      <c r="BN166">
        <v>5</v>
      </c>
      <c r="BO166">
        <v>8500</v>
      </c>
      <c r="BP166">
        <v>550</v>
      </c>
      <c r="BQ166" s="14">
        <v>100</v>
      </c>
      <c r="BR166" s="12">
        <v>22</v>
      </c>
      <c r="BS166">
        <v>22</v>
      </c>
      <c r="CG166" s="23">
        <v>16</v>
      </c>
      <c r="CH166">
        <v>16</v>
      </c>
      <c r="CU166" s="24"/>
      <c r="CV166">
        <v>1</v>
      </c>
      <c r="CW166">
        <v>1</v>
      </c>
      <c r="DK166" s="41">
        <v>105322</v>
      </c>
      <c r="DL166" s="41" t="s">
        <v>516</v>
      </c>
    </row>
    <row r="167" spans="65:116" ht="15.75" customHeight="1">
      <c r="BM167" t="s">
        <v>452</v>
      </c>
      <c r="BN167">
        <v>5</v>
      </c>
      <c r="BO167">
        <v>7500</v>
      </c>
      <c r="BP167">
        <v>600</v>
      </c>
      <c r="BQ167" s="14">
        <v>120</v>
      </c>
      <c r="BR167" s="33">
        <v>17.2</v>
      </c>
      <c r="BS167" s="33">
        <v>17.2</v>
      </c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9">
        <v>11</v>
      </c>
      <c r="CH167" s="33">
        <v>11</v>
      </c>
      <c r="CI167" s="33"/>
      <c r="CJ167" s="33"/>
      <c r="CK167" s="33"/>
      <c r="CL167" s="33"/>
      <c r="CM167" s="33"/>
      <c r="CN167" s="33"/>
      <c r="CO167" s="33"/>
      <c r="CP167" s="33"/>
      <c r="CQ167" s="33"/>
      <c r="CR167" s="33"/>
      <c r="CS167" s="33"/>
      <c r="CT167" s="33"/>
      <c r="CU167" s="34"/>
      <c r="CV167">
        <v>1</v>
      </c>
      <c r="CW167">
        <v>1</v>
      </c>
      <c r="DK167" s="15"/>
      <c r="DL167" s="15"/>
    </row>
    <row r="168" spans="65:116" ht="15.75" customHeight="1">
      <c r="BM168" t="s">
        <v>453</v>
      </c>
      <c r="BN168">
        <v>60</v>
      </c>
      <c r="BO168">
        <v>112000</v>
      </c>
      <c r="BP168">
        <v>800</v>
      </c>
      <c r="BQ168" s="14">
        <v>180</v>
      </c>
      <c r="BR168" s="12">
        <v>50</v>
      </c>
      <c r="BS168">
        <v>50</v>
      </c>
      <c r="BT168">
        <v>50</v>
      </c>
      <c r="BU168">
        <v>50</v>
      </c>
      <c r="BV168">
        <v>50</v>
      </c>
      <c r="BW168">
        <v>50</v>
      </c>
      <c r="BX168">
        <v>50</v>
      </c>
      <c r="BY168">
        <v>50</v>
      </c>
      <c r="CF168" s="12"/>
      <c r="CG168" s="39">
        <v>40</v>
      </c>
      <c r="CH168" s="33">
        <v>40</v>
      </c>
      <c r="CI168" s="33">
        <v>40</v>
      </c>
      <c r="CJ168" s="33">
        <v>40</v>
      </c>
      <c r="CK168" s="33">
        <v>20</v>
      </c>
      <c r="CL168" s="33">
        <v>20</v>
      </c>
      <c r="CM168" s="33">
        <v>20</v>
      </c>
      <c r="CN168" s="33">
        <v>20</v>
      </c>
      <c r="CO168" s="33"/>
      <c r="CP168" s="33"/>
      <c r="CQ168" s="33"/>
      <c r="CR168" s="33"/>
      <c r="CS168" s="33"/>
      <c r="CT168" s="33"/>
      <c r="CU168" s="34"/>
      <c r="CV168">
        <v>2</v>
      </c>
      <c r="CW168">
        <v>2</v>
      </c>
      <c r="CX168">
        <v>2</v>
      </c>
      <c r="CY168">
        <v>2</v>
      </c>
      <c r="CZ168">
        <v>1</v>
      </c>
      <c r="DA168">
        <v>1</v>
      </c>
      <c r="DB168">
        <v>1</v>
      </c>
      <c r="DC168">
        <v>1</v>
      </c>
      <c r="DK168" s="41"/>
      <c r="DL168" s="41"/>
    </row>
    <row r="169" spans="65:116" ht="15.75" customHeight="1">
      <c r="BM169" t="s">
        <v>454</v>
      </c>
      <c r="BN169">
        <v>60</v>
      </c>
      <c r="BO169">
        <v>112000</v>
      </c>
      <c r="BP169">
        <v>800</v>
      </c>
      <c r="BQ169" s="14">
        <v>180</v>
      </c>
      <c r="BR169" s="12">
        <v>50</v>
      </c>
      <c r="BS169">
        <v>50</v>
      </c>
      <c r="BT169">
        <v>50</v>
      </c>
      <c r="BU169">
        <v>50</v>
      </c>
      <c r="BV169">
        <v>50</v>
      </c>
      <c r="BW169">
        <v>50</v>
      </c>
      <c r="BX169">
        <v>50</v>
      </c>
      <c r="BY169">
        <v>50</v>
      </c>
      <c r="CF169" s="12"/>
      <c r="CG169" s="13">
        <v>40</v>
      </c>
      <c r="CH169">
        <v>40</v>
      </c>
      <c r="CI169">
        <v>40</v>
      </c>
      <c r="CJ169">
        <v>40</v>
      </c>
      <c r="CK169">
        <v>20</v>
      </c>
      <c r="CL169">
        <v>20</v>
      </c>
      <c r="CM169">
        <v>20</v>
      </c>
      <c r="CN169">
        <v>20</v>
      </c>
      <c r="CU169" s="24"/>
      <c r="CV169">
        <v>2</v>
      </c>
      <c r="CW169">
        <v>2</v>
      </c>
      <c r="CX169">
        <v>2</v>
      </c>
      <c r="CY169">
        <v>2</v>
      </c>
      <c r="CZ169">
        <v>2</v>
      </c>
      <c r="DA169">
        <v>2</v>
      </c>
      <c r="DB169">
        <v>2</v>
      </c>
      <c r="DC169">
        <v>2</v>
      </c>
      <c r="DK169" s="15"/>
      <c r="DL169" s="15"/>
    </row>
    <row r="170" spans="65:116" ht="15.75" customHeight="1">
      <c r="BM170" t="s">
        <v>455</v>
      </c>
      <c r="BN170">
        <v>75</v>
      </c>
      <c r="BO170">
        <v>150000</v>
      </c>
      <c r="BP170">
        <v>800</v>
      </c>
      <c r="BQ170" s="14">
        <v>180</v>
      </c>
      <c r="BR170" s="33">
        <v>50</v>
      </c>
      <c r="BS170" s="33">
        <v>50</v>
      </c>
      <c r="BT170" s="33">
        <v>50</v>
      </c>
      <c r="BU170" s="33">
        <v>50</v>
      </c>
      <c r="BV170" s="33">
        <v>50</v>
      </c>
      <c r="BW170" s="33">
        <v>50</v>
      </c>
      <c r="BX170" s="33">
        <v>50</v>
      </c>
      <c r="BY170" s="33">
        <v>50</v>
      </c>
      <c r="BZ170" s="33"/>
      <c r="CA170" s="33"/>
      <c r="CB170" s="33"/>
      <c r="CC170" s="33"/>
      <c r="CD170" s="33"/>
      <c r="CE170" s="33"/>
      <c r="CF170" s="33"/>
      <c r="CG170" s="39">
        <v>40</v>
      </c>
      <c r="CH170" s="33">
        <v>40</v>
      </c>
      <c r="CI170" s="33">
        <v>40</v>
      </c>
      <c r="CJ170" s="33">
        <v>40</v>
      </c>
      <c r="CK170" s="33">
        <v>20</v>
      </c>
      <c r="CL170" s="33">
        <v>20</v>
      </c>
      <c r="CM170" s="33">
        <v>20</v>
      </c>
      <c r="CN170" s="33">
        <v>20</v>
      </c>
      <c r="CO170" s="33"/>
      <c r="CP170" s="33"/>
      <c r="CQ170" s="33"/>
      <c r="CR170" s="33"/>
      <c r="CS170" s="33"/>
      <c r="CT170" s="33"/>
      <c r="CU170" s="34"/>
      <c r="CV170">
        <v>2</v>
      </c>
      <c r="CW170">
        <v>2</v>
      </c>
      <c r="CX170">
        <v>2</v>
      </c>
      <c r="CY170">
        <v>2</v>
      </c>
      <c r="CZ170">
        <v>1</v>
      </c>
      <c r="DA170">
        <v>1</v>
      </c>
      <c r="DB170">
        <v>1</v>
      </c>
      <c r="DC170">
        <v>1</v>
      </c>
      <c r="DK170" s="41"/>
      <c r="DL170" s="41"/>
    </row>
    <row r="171" spans="65:116" ht="15.75" customHeight="1">
      <c r="BM171" t="s">
        <v>456</v>
      </c>
      <c r="BN171">
        <v>75</v>
      </c>
      <c r="BO171">
        <v>150000</v>
      </c>
      <c r="BP171">
        <v>800</v>
      </c>
      <c r="BQ171" s="14">
        <v>180</v>
      </c>
      <c r="BR171" s="12">
        <v>50</v>
      </c>
      <c r="BS171">
        <v>50</v>
      </c>
      <c r="BT171">
        <v>50</v>
      </c>
      <c r="BU171">
        <v>50</v>
      </c>
      <c r="BV171">
        <v>50</v>
      </c>
      <c r="BW171">
        <v>50</v>
      </c>
      <c r="BX171">
        <v>50</v>
      </c>
      <c r="BY171">
        <v>50</v>
      </c>
      <c r="CF171" s="12"/>
      <c r="CG171" s="13">
        <v>40</v>
      </c>
      <c r="CH171">
        <v>40</v>
      </c>
      <c r="CI171">
        <v>40</v>
      </c>
      <c r="CJ171">
        <v>40</v>
      </c>
      <c r="CK171">
        <v>20</v>
      </c>
      <c r="CL171">
        <v>20</v>
      </c>
      <c r="CM171">
        <v>20</v>
      </c>
      <c r="CN171">
        <v>20</v>
      </c>
      <c r="CU171" s="24"/>
      <c r="CV171">
        <v>2</v>
      </c>
      <c r="CW171">
        <v>2</v>
      </c>
      <c r="CX171">
        <v>2</v>
      </c>
      <c r="CY171">
        <v>2</v>
      </c>
      <c r="CZ171">
        <v>2</v>
      </c>
      <c r="DA171">
        <v>2</v>
      </c>
      <c r="DB171">
        <v>2</v>
      </c>
      <c r="DC171">
        <v>2</v>
      </c>
      <c r="DK171" s="15"/>
      <c r="DL171" s="15"/>
    </row>
    <row r="172" spans="65:116" ht="15.75" customHeight="1">
      <c r="BM172" t="s">
        <v>457</v>
      </c>
      <c r="BN172">
        <v>50</v>
      </c>
      <c r="BO172">
        <f>Table_2[[#This Row],[Pnom]]*1000*1.6</f>
        <v>80000</v>
      </c>
      <c r="BP172">
        <v>800</v>
      </c>
      <c r="BQ172" s="24">
        <v>200</v>
      </c>
      <c r="BR172">
        <v>48</v>
      </c>
      <c r="BS172">
        <v>48</v>
      </c>
      <c r="BT172">
        <v>48</v>
      </c>
      <c r="BU172">
        <v>48</v>
      </c>
      <c r="BV172">
        <v>48</v>
      </c>
      <c r="BW172">
        <v>48</v>
      </c>
      <c r="CG172" s="23">
        <v>32</v>
      </c>
      <c r="CH172" s="12">
        <v>32</v>
      </c>
      <c r="CI172" s="12">
        <v>32</v>
      </c>
      <c r="CJ172" s="12">
        <v>32</v>
      </c>
      <c r="CK172" s="12">
        <v>32</v>
      </c>
      <c r="CL172" s="12">
        <v>32</v>
      </c>
      <c r="CM172" s="12"/>
      <c r="CN172" s="12"/>
      <c r="CU172" s="24"/>
      <c r="CV172">
        <v>2</v>
      </c>
      <c r="CW172">
        <v>2</v>
      </c>
      <c r="CX172">
        <v>2</v>
      </c>
      <c r="CY172">
        <v>2</v>
      </c>
      <c r="CZ172">
        <v>2</v>
      </c>
      <c r="DA172">
        <v>2</v>
      </c>
      <c r="DK172" s="41"/>
      <c r="DL172" s="41"/>
    </row>
    <row r="173" spans="65:116" ht="15.75" customHeight="1">
      <c r="BM173" t="s">
        <v>458</v>
      </c>
      <c r="BN173">
        <v>10</v>
      </c>
      <c r="BO173">
        <f>Table_2[[#This Row],[Pnom]]*1.6*1000</f>
        <v>16000</v>
      </c>
      <c r="BP173">
        <v>600</v>
      </c>
      <c r="BQ173" s="24">
        <v>100</v>
      </c>
      <c r="BR173">
        <v>28</v>
      </c>
      <c r="BS173">
        <v>22.5</v>
      </c>
      <c r="BT173">
        <v>28</v>
      </c>
      <c r="BU173" s="33"/>
      <c r="BV173" s="33"/>
      <c r="BW173" s="33"/>
      <c r="BX173" s="33"/>
      <c r="BY173" s="33"/>
      <c r="BZ173" s="33"/>
      <c r="CA173" s="33"/>
      <c r="CB173" s="33"/>
      <c r="CC173" s="33"/>
      <c r="CD173" s="33"/>
      <c r="CE173" s="33"/>
      <c r="CF173" s="33"/>
      <c r="CG173" s="39">
        <v>20</v>
      </c>
      <c r="CH173" s="33">
        <v>16</v>
      </c>
      <c r="CI173" s="33">
        <v>20</v>
      </c>
      <c r="CJ173" s="33"/>
      <c r="CK173" s="33"/>
      <c r="CL173" s="33"/>
      <c r="CM173" s="33"/>
      <c r="CN173" s="33"/>
      <c r="CO173" s="33"/>
      <c r="CP173" s="33"/>
      <c r="CQ173" s="33"/>
      <c r="CR173" s="33"/>
      <c r="CS173" s="33"/>
      <c r="CT173" s="33"/>
      <c r="CU173" s="34"/>
      <c r="CV173">
        <v>1</v>
      </c>
      <c r="CW173">
        <v>1</v>
      </c>
      <c r="CX173">
        <v>1</v>
      </c>
      <c r="DK173" s="15">
        <v>152041</v>
      </c>
      <c r="DL173" s="15" t="s">
        <v>516</v>
      </c>
    </row>
    <row r="174" spans="65:116" ht="15.75" customHeight="1">
      <c r="BM174" t="s">
        <v>459</v>
      </c>
      <c r="BN174">
        <v>12</v>
      </c>
      <c r="BO174">
        <f>Table_2[[#This Row],[Pnom]]*1.6*1000</f>
        <v>19200.000000000004</v>
      </c>
      <c r="BP174">
        <v>950</v>
      </c>
      <c r="BQ174" s="24">
        <v>180</v>
      </c>
      <c r="BR174">
        <v>48</v>
      </c>
      <c r="BS174">
        <v>30</v>
      </c>
      <c r="CG174" s="23">
        <v>32</v>
      </c>
      <c r="CH174">
        <v>20</v>
      </c>
      <c r="CU174" s="24"/>
      <c r="CV174">
        <v>2</v>
      </c>
      <c r="CW174">
        <v>1</v>
      </c>
      <c r="DK174" s="41"/>
      <c r="DL174" s="41"/>
    </row>
    <row r="175" spans="65:116" ht="15.75" customHeight="1">
      <c r="BM175" t="s">
        <v>460</v>
      </c>
      <c r="BN175">
        <v>15</v>
      </c>
      <c r="BO175">
        <f>Table_2[[#This Row],[Pnom]]*1.6*1000</f>
        <v>24000</v>
      </c>
      <c r="BP175">
        <v>950</v>
      </c>
      <c r="BQ175" s="24">
        <v>180</v>
      </c>
      <c r="BR175" s="33">
        <v>48</v>
      </c>
      <c r="BS175" s="33">
        <v>30</v>
      </c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  <c r="CD175" s="33"/>
      <c r="CE175" s="33"/>
      <c r="CF175" s="33"/>
      <c r="CG175" s="39">
        <v>32</v>
      </c>
      <c r="CH175" s="33">
        <v>20</v>
      </c>
      <c r="CI175" s="33"/>
      <c r="CJ175" s="33"/>
      <c r="CK175" s="33"/>
      <c r="CL175" s="33"/>
      <c r="CM175" s="33"/>
      <c r="CN175" s="33"/>
      <c r="CO175" s="33"/>
      <c r="CP175" s="33"/>
      <c r="CQ175" s="33"/>
      <c r="CR175" s="33"/>
      <c r="CS175" s="33"/>
      <c r="CT175" s="33"/>
      <c r="CU175" s="34"/>
      <c r="CV175">
        <v>2</v>
      </c>
      <c r="CW175">
        <v>1</v>
      </c>
      <c r="DK175" s="15"/>
      <c r="DL175" s="15"/>
    </row>
    <row r="176" spans="65:116" ht="15.75" customHeight="1">
      <c r="BM176" t="s">
        <v>461</v>
      </c>
      <c r="BN176">
        <v>15</v>
      </c>
      <c r="BO176">
        <f>Table_2[[#This Row],[Pnom]]*1.6*1000</f>
        <v>24000</v>
      </c>
      <c r="BP176">
        <v>800</v>
      </c>
      <c r="BQ176" s="24">
        <v>180</v>
      </c>
      <c r="BR176" s="33">
        <v>60</v>
      </c>
      <c r="BS176" s="33">
        <v>48</v>
      </c>
      <c r="BT176" s="33"/>
      <c r="BU176" s="33"/>
      <c r="BV176" s="33"/>
      <c r="BW176" s="33"/>
      <c r="BX176" s="33"/>
      <c r="BY176" s="33"/>
      <c r="BZ176" s="33"/>
      <c r="CA176" s="33"/>
      <c r="CB176" s="33"/>
      <c r="CC176" s="33"/>
      <c r="CD176" s="33"/>
      <c r="CE176" s="33"/>
      <c r="CF176" s="33"/>
      <c r="CG176" s="39">
        <v>40</v>
      </c>
      <c r="CH176" s="33">
        <v>32</v>
      </c>
      <c r="CI176" s="33"/>
      <c r="CJ176" s="33"/>
      <c r="CK176" s="33"/>
      <c r="CL176" s="33"/>
      <c r="CM176" s="33"/>
      <c r="CN176" s="33"/>
      <c r="CO176" s="33"/>
      <c r="CP176" s="33"/>
      <c r="CQ176" s="33"/>
      <c r="CR176" s="33"/>
      <c r="CS176" s="33"/>
      <c r="CT176" s="33"/>
      <c r="CU176" s="34"/>
      <c r="CV176">
        <v>2</v>
      </c>
      <c r="CW176">
        <v>2</v>
      </c>
      <c r="DK176" s="41">
        <v>152048</v>
      </c>
      <c r="DL176" s="41" t="s">
        <v>516</v>
      </c>
    </row>
    <row r="177" spans="65:116" ht="15.75" customHeight="1">
      <c r="BM177" t="s">
        <v>462</v>
      </c>
      <c r="BN177">
        <v>17</v>
      </c>
      <c r="BO177">
        <v>27200</v>
      </c>
      <c r="BP177">
        <v>950</v>
      </c>
      <c r="BQ177" s="24">
        <v>180</v>
      </c>
      <c r="BR177">
        <v>48</v>
      </c>
      <c r="BS177">
        <v>48</v>
      </c>
      <c r="CG177" s="39">
        <v>32</v>
      </c>
      <c r="CH177" s="33">
        <v>32</v>
      </c>
      <c r="CI177" s="33"/>
      <c r="CJ177" s="33"/>
      <c r="CK177" s="33"/>
      <c r="CL177" s="33"/>
      <c r="CM177" s="33"/>
      <c r="CN177" s="33"/>
      <c r="CO177" s="33"/>
      <c r="CP177" s="33"/>
      <c r="CQ177" s="33"/>
      <c r="CR177" s="33"/>
      <c r="CS177" s="33"/>
      <c r="CT177" s="33"/>
      <c r="CU177" s="34"/>
      <c r="CV177">
        <v>2</v>
      </c>
      <c r="CW177">
        <v>2</v>
      </c>
      <c r="DK177" s="15"/>
      <c r="DL177" s="15"/>
    </row>
    <row r="178" spans="65:116" ht="15.75" customHeight="1">
      <c r="BM178" t="s">
        <v>463</v>
      </c>
      <c r="BN178">
        <v>17</v>
      </c>
      <c r="BO178">
        <f>Table_2[[#This Row],[Pnom]]*1.6*1000</f>
        <v>27200.000000000004</v>
      </c>
      <c r="BP178">
        <v>950</v>
      </c>
      <c r="BQ178" s="24">
        <v>150</v>
      </c>
      <c r="BR178">
        <v>48</v>
      </c>
      <c r="BS178">
        <v>48</v>
      </c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39">
        <v>32</v>
      </c>
      <c r="CH178" s="33">
        <v>32</v>
      </c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8"/>
      <c r="CV178">
        <v>2</v>
      </c>
      <c r="CW178">
        <v>2</v>
      </c>
      <c r="DK178" s="41"/>
      <c r="DL178" s="41"/>
    </row>
    <row r="179" spans="65:116" ht="15.75" customHeight="1">
      <c r="BM179" t="s">
        <v>464</v>
      </c>
      <c r="BN179">
        <v>20</v>
      </c>
      <c r="BO179">
        <f>Table_2[[#This Row],[Pnom]]*1.6*1000</f>
        <v>32000</v>
      </c>
      <c r="BP179">
        <v>950</v>
      </c>
      <c r="BQ179" s="12">
        <v>180</v>
      </c>
      <c r="BR179" s="39">
        <v>48</v>
      </c>
      <c r="BS179" s="33">
        <v>48</v>
      </c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  <c r="CD179" s="33"/>
      <c r="CE179" s="33"/>
      <c r="CF179" s="34"/>
      <c r="CG179" s="33">
        <v>32</v>
      </c>
      <c r="CH179" s="33">
        <v>32</v>
      </c>
      <c r="CI179" s="33"/>
      <c r="CJ179" s="33"/>
      <c r="CK179" s="33"/>
      <c r="CL179" s="33"/>
      <c r="CM179" s="33"/>
      <c r="CN179" s="33"/>
      <c r="CO179" s="33"/>
      <c r="CP179" s="33"/>
      <c r="CQ179" s="33"/>
      <c r="CR179" s="33"/>
      <c r="CS179" s="33"/>
      <c r="CT179" s="33"/>
      <c r="CU179" s="34"/>
      <c r="CV179">
        <v>2</v>
      </c>
      <c r="CW179">
        <v>2</v>
      </c>
      <c r="DK179" s="15">
        <v>52731</v>
      </c>
      <c r="DL179" s="15" t="s">
        <v>516</v>
      </c>
    </row>
    <row r="180" spans="65:116" ht="15.75" customHeight="1">
      <c r="BM180" t="s">
        <v>465</v>
      </c>
      <c r="BN180">
        <v>20</v>
      </c>
      <c r="BO180">
        <f>Table_2[[#This Row],[Pnom]]*1.6*1000</f>
        <v>32000</v>
      </c>
      <c r="BP180">
        <v>800</v>
      </c>
      <c r="BQ180" s="12">
        <v>200</v>
      </c>
      <c r="BR180" s="13">
        <v>48</v>
      </c>
      <c r="BS180">
        <v>48</v>
      </c>
      <c r="BT180">
        <v>48</v>
      </c>
      <c r="BU180" s="33"/>
      <c r="BV180" s="33"/>
      <c r="BW180" s="33"/>
      <c r="BX180" s="33"/>
      <c r="BY180" s="33"/>
      <c r="BZ180" s="33"/>
      <c r="CA180" s="33"/>
      <c r="CB180" s="33"/>
      <c r="CC180" s="33"/>
      <c r="CD180" s="33"/>
      <c r="CE180" s="33"/>
      <c r="CF180" s="34"/>
      <c r="CG180" s="33">
        <v>32</v>
      </c>
      <c r="CH180" s="33">
        <v>32</v>
      </c>
      <c r="CI180" s="33">
        <v>32</v>
      </c>
      <c r="CJ180" s="33"/>
      <c r="CK180" s="33"/>
      <c r="CL180" s="33"/>
      <c r="CM180" s="33"/>
      <c r="CN180" s="33"/>
      <c r="CO180" s="33"/>
      <c r="CP180" s="33"/>
      <c r="CQ180" s="33"/>
      <c r="CR180" s="33"/>
      <c r="CS180" s="33"/>
      <c r="CT180" s="33"/>
      <c r="CU180" s="34"/>
      <c r="CV180">
        <v>2</v>
      </c>
      <c r="CW180">
        <v>2</v>
      </c>
      <c r="CX180">
        <v>2</v>
      </c>
      <c r="DK180" s="41">
        <v>152049</v>
      </c>
      <c r="DL180" s="41" t="s">
        <v>516</v>
      </c>
    </row>
    <row r="181" spans="65:116" ht="15.75" customHeight="1">
      <c r="BM181" t="s">
        <v>466</v>
      </c>
      <c r="BN181">
        <v>250</v>
      </c>
      <c r="BO181">
        <v>400000</v>
      </c>
      <c r="BP181">
        <v>1500</v>
      </c>
      <c r="BQ181" s="12">
        <v>550</v>
      </c>
      <c r="BR181" s="13">
        <v>113</v>
      </c>
      <c r="BS181">
        <v>113</v>
      </c>
      <c r="BT181">
        <v>113</v>
      </c>
      <c r="BU181">
        <v>113</v>
      </c>
      <c r="BV181">
        <v>113</v>
      </c>
      <c r="CF181" s="14"/>
      <c r="CG181" s="12">
        <v>75</v>
      </c>
      <c r="CH181">
        <v>75</v>
      </c>
      <c r="CI181">
        <v>75</v>
      </c>
      <c r="CJ181">
        <v>75</v>
      </c>
      <c r="CK181">
        <v>75</v>
      </c>
      <c r="CU181" s="24"/>
      <c r="CV181">
        <v>5</v>
      </c>
      <c r="CW181">
        <v>5</v>
      </c>
      <c r="CX181">
        <v>5</v>
      </c>
      <c r="CY181">
        <v>5</v>
      </c>
      <c r="CZ181">
        <v>5</v>
      </c>
      <c r="DK181" s="15"/>
      <c r="DL181" s="15"/>
    </row>
    <row r="182" spans="65:116" ht="15.75" customHeight="1">
      <c r="BM182" t="s">
        <v>467</v>
      </c>
      <c r="BN182">
        <v>25</v>
      </c>
      <c r="BO182">
        <f>Table_2[[#This Row],[Pnom]]*1.6*1000</f>
        <v>40000</v>
      </c>
      <c r="BP182">
        <v>950</v>
      </c>
      <c r="BQ182" s="12">
        <v>180</v>
      </c>
      <c r="BR182" s="39">
        <v>60</v>
      </c>
      <c r="BS182" s="33">
        <v>48</v>
      </c>
      <c r="BT182" s="33"/>
      <c r="BU182" s="33"/>
      <c r="BV182" s="33"/>
      <c r="BW182" s="33"/>
      <c r="BX182" s="33"/>
      <c r="BY182" s="33"/>
      <c r="BZ182" s="33"/>
      <c r="CA182" s="33"/>
      <c r="CB182" s="33"/>
      <c r="CC182" s="33"/>
      <c r="CD182" s="33"/>
      <c r="CE182" s="33"/>
      <c r="CF182" s="34"/>
      <c r="CG182" s="33">
        <v>40</v>
      </c>
      <c r="CH182" s="33">
        <v>32</v>
      </c>
      <c r="CI182" s="33"/>
      <c r="CJ182" s="33"/>
      <c r="CK182" s="33"/>
      <c r="CL182" s="33"/>
      <c r="CM182" s="33"/>
      <c r="CN182" s="33"/>
      <c r="CO182" s="33"/>
      <c r="CP182" s="33"/>
      <c r="CQ182" s="33"/>
      <c r="CR182" s="33"/>
      <c r="CS182" s="33"/>
      <c r="CT182" s="33"/>
      <c r="CU182" s="34"/>
      <c r="CV182">
        <v>2</v>
      </c>
      <c r="CW182">
        <v>2</v>
      </c>
      <c r="DK182" s="41"/>
      <c r="DL182" s="41"/>
    </row>
    <row r="183" spans="65:116" ht="15.75" customHeight="1">
      <c r="BM183" t="s">
        <v>468</v>
      </c>
      <c r="BN183">
        <v>25</v>
      </c>
      <c r="BO183">
        <f>Table_2[[#This Row],[Pnom]]*1.6*1000</f>
        <v>40000</v>
      </c>
      <c r="BP183">
        <v>800</v>
      </c>
      <c r="BQ183" s="12">
        <v>200</v>
      </c>
      <c r="BR183" s="39">
        <v>48</v>
      </c>
      <c r="BS183" s="33">
        <v>48</v>
      </c>
      <c r="BT183" s="33">
        <v>48</v>
      </c>
      <c r="BU183" s="33"/>
      <c r="BV183" s="33"/>
      <c r="BW183" s="33"/>
      <c r="BX183" s="33"/>
      <c r="BY183" s="33"/>
      <c r="BZ183" s="33"/>
      <c r="CA183" s="33"/>
      <c r="CB183" s="33"/>
      <c r="CC183" s="33"/>
      <c r="CD183" s="33"/>
      <c r="CE183" s="33"/>
      <c r="CF183" s="33"/>
      <c r="CG183" s="33">
        <v>32</v>
      </c>
      <c r="CH183" s="33">
        <v>32</v>
      </c>
      <c r="CI183" s="33">
        <v>32</v>
      </c>
      <c r="CJ183" s="33"/>
      <c r="CK183" s="33"/>
      <c r="CL183" s="33"/>
      <c r="CM183" s="33"/>
      <c r="CN183" s="33"/>
      <c r="CO183" s="33"/>
      <c r="CP183" s="33"/>
      <c r="CQ183" s="33"/>
      <c r="CR183" s="33"/>
      <c r="CS183" s="33"/>
      <c r="CT183" s="33"/>
      <c r="CU183" s="33"/>
      <c r="CV183">
        <v>2</v>
      </c>
      <c r="CW183">
        <v>2</v>
      </c>
      <c r="CX183">
        <v>2</v>
      </c>
      <c r="DK183" s="15"/>
      <c r="DL183" s="15"/>
    </row>
    <row r="184" spans="65:116" ht="15.75" customHeight="1">
      <c r="BM184" t="s">
        <v>469</v>
      </c>
      <c r="BN184">
        <v>30</v>
      </c>
      <c r="BO184">
        <f>Table_2[[#This Row],[Pnom]]*1.6*1000</f>
        <v>48000</v>
      </c>
      <c r="BP184">
        <v>950</v>
      </c>
      <c r="BQ184" s="12">
        <v>200</v>
      </c>
      <c r="BR184" s="39">
        <v>48</v>
      </c>
      <c r="BS184" s="33">
        <v>48</v>
      </c>
      <c r="BT184" s="33">
        <v>48</v>
      </c>
      <c r="BU184" s="33"/>
      <c r="BV184" s="33"/>
      <c r="BW184" s="33"/>
      <c r="BX184" s="33"/>
      <c r="BY184" s="33"/>
      <c r="BZ184" s="33"/>
      <c r="CA184" s="33"/>
      <c r="CB184" s="33"/>
      <c r="CC184" s="33"/>
      <c r="CD184" s="33"/>
      <c r="CE184" s="33"/>
      <c r="CF184" s="33"/>
      <c r="CG184" s="33">
        <v>32</v>
      </c>
      <c r="CH184" s="33">
        <v>32</v>
      </c>
      <c r="CI184" s="33">
        <v>32</v>
      </c>
      <c r="CJ184" s="33"/>
      <c r="CK184" s="33"/>
      <c r="CL184" s="33"/>
      <c r="CM184" s="33"/>
      <c r="CN184" s="33"/>
      <c r="CO184" s="33"/>
      <c r="CP184" s="33"/>
      <c r="CQ184" s="33"/>
      <c r="CR184" s="33"/>
      <c r="CS184" s="33"/>
      <c r="CT184" s="33"/>
      <c r="CU184" s="33"/>
      <c r="CV184">
        <v>2</v>
      </c>
      <c r="CW184">
        <v>2</v>
      </c>
      <c r="CX184">
        <v>2</v>
      </c>
      <c r="DK184" s="41">
        <v>143407</v>
      </c>
      <c r="DL184" s="41" t="s">
        <v>516</v>
      </c>
    </row>
    <row r="185" spans="65:116" ht="15.75" customHeight="1">
      <c r="BM185" t="s">
        <v>470</v>
      </c>
      <c r="BN185">
        <v>30</v>
      </c>
      <c r="BO185">
        <f>Table_2[[#This Row],[Pnom]]*1.6*1000</f>
        <v>48000</v>
      </c>
      <c r="BP185">
        <v>800</v>
      </c>
      <c r="BQ185" s="12">
        <v>250</v>
      </c>
      <c r="BR185" s="39">
        <v>60</v>
      </c>
      <c r="BS185" s="33">
        <v>48</v>
      </c>
      <c r="BT185" s="33">
        <v>48</v>
      </c>
      <c r="BU185" s="33">
        <v>60</v>
      </c>
      <c r="BV185" s="33"/>
      <c r="BW185" s="33"/>
      <c r="BX185" s="33"/>
      <c r="BY185" s="33"/>
      <c r="BZ185" s="33"/>
      <c r="CA185" s="33"/>
      <c r="CB185" s="33"/>
      <c r="CC185" s="33"/>
      <c r="CD185" s="33"/>
      <c r="CE185" s="33"/>
      <c r="CF185" s="33"/>
      <c r="CG185" s="33">
        <v>40</v>
      </c>
      <c r="CH185" s="33">
        <v>32</v>
      </c>
      <c r="CI185" s="33">
        <v>32</v>
      </c>
      <c r="CJ185" s="33">
        <v>40</v>
      </c>
      <c r="CK185" s="33"/>
      <c r="CL185" s="33"/>
      <c r="CM185" s="33"/>
      <c r="CN185" s="33"/>
      <c r="CO185" s="33"/>
      <c r="CP185" s="33"/>
      <c r="CQ185" s="33"/>
      <c r="CR185" s="33"/>
      <c r="CS185" s="33"/>
      <c r="CT185" s="33"/>
      <c r="CU185" s="33"/>
      <c r="CV185">
        <v>2</v>
      </c>
      <c r="CW185">
        <v>2</v>
      </c>
      <c r="CX185">
        <v>2</v>
      </c>
      <c r="CY185">
        <v>2</v>
      </c>
      <c r="DK185" s="15"/>
      <c r="DL185" s="15"/>
    </row>
    <row r="186" spans="65:116" ht="15.75" customHeight="1">
      <c r="BM186" t="s">
        <v>471</v>
      </c>
      <c r="BN186">
        <v>33</v>
      </c>
      <c r="BO186">
        <f>1000*1.6*Table_2[[#This Row],[Pnom]]</f>
        <v>52800</v>
      </c>
      <c r="BP186">
        <v>950</v>
      </c>
      <c r="BQ186" s="12">
        <v>200</v>
      </c>
      <c r="BR186" s="13">
        <v>48</v>
      </c>
      <c r="BS186">
        <v>48</v>
      </c>
      <c r="BT186">
        <v>60</v>
      </c>
      <c r="CG186" s="12">
        <v>32</v>
      </c>
      <c r="CH186">
        <v>32</v>
      </c>
      <c r="CI186">
        <v>40</v>
      </c>
      <c r="CU186" s="12"/>
      <c r="CV186">
        <v>2</v>
      </c>
      <c r="CW186">
        <v>2</v>
      </c>
      <c r="CX186">
        <v>2</v>
      </c>
      <c r="DK186" s="41">
        <v>152046</v>
      </c>
      <c r="DL186" s="41" t="s">
        <v>516</v>
      </c>
    </row>
    <row r="187" spans="65:116" ht="15.75" customHeight="1">
      <c r="BM187" t="s">
        <v>472</v>
      </c>
      <c r="BN187">
        <v>36</v>
      </c>
      <c r="BO187">
        <f>Table_2[[#This Row],[Pnom]]*1000*1.6</f>
        <v>57600</v>
      </c>
      <c r="BP187">
        <v>950</v>
      </c>
      <c r="BQ187" s="12">
        <v>200</v>
      </c>
      <c r="BR187" s="13">
        <v>48</v>
      </c>
      <c r="BS187">
        <v>48</v>
      </c>
      <c r="BT187">
        <v>60</v>
      </c>
      <c r="CG187" s="33">
        <v>32</v>
      </c>
      <c r="CH187" s="33">
        <v>32</v>
      </c>
      <c r="CI187" s="33">
        <v>40</v>
      </c>
      <c r="CJ187" s="33"/>
      <c r="CK187" s="33"/>
      <c r="CL187" s="33"/>
      <c r="CM187" s="33"/>
      <c r="CN187" s="33"/>
      <c r="CO187" s="33"/>
      <c r="CP187" s="33"/>
      <c r="CQ187" s="33"/>
      <c r="CR187" s="33"/>
      <c r="CS187" s="33"/>
      <c r="CT187" s="33"/>
      <c r="CU187" s="33"/>
      <c r="CV187">
        <v>2</v>
      </c>
      <c r="CW187">
        <v>2</v>
      </c>
      <c r="CX187">
        <v>2</v>
      </c>
      <c r="DK187" s="15"/>
      <c r="DL187" s="15"/>
    </row>
    <row r="188" spans="65:116" ht="15.75" customHeight="1">
      <c r="BM188" t="s">
        <v>473</v>
      </c>
      <c r="BN188">
        <v>36</v>
      </c>
      <c r="BO188">
        <f>Table_2[[#This Row],[Pnom]]*1.6*1000</f>
        <v>57600</v>
      </c>
      <c r="BP188">
        <v>800</v>
      </c>
      <c r="BQ188" s="12">
        <v>250</v>
      </c>
      <c r="BR188" s="39">
        <v>60</v>
      </c>
      <c r="BS188" s="33">
        <v>48</v>
      </c>
      <c r="BT188" s="33">
        <v>48</v>
      </c>
      <c r="BU188" s="33">
        <v>60</v>
      </c>
      <c r="BV188" s="33"/>
      <c r="BW188" s="33"/>
      <c r="BX188" s="33"/>
      <c r="BY188" s="33"/>
      <c r="BZ188" s="33"/>
      <c r="CA188" s="33"/>
      <c r="CB188" s="33"/>
      <c r="CC188" s="33"/>
      <c r="CD188" s="33"/>
      <c r="CE188" s="33"/>
      <c r="CF188" s="33"/>
      <c r="CG188" s="33">
        <v>40</v>
      </c>
      <c r="CH188" s="33">
        <v>32</v>
      </c>
      <c r="CI188" s="33">
        <v>32</v>
      </c>
      <c r="CJ188" s="33">
        <v>40</v>
      </c>
      <c r="CK188" s="33"/>
      <c r="CL188" s="33"/>
      <c r="CM188" s="33"/>
      <c r="CN188" s="33"/>
      <c r="CO188" s="33"/>
      <c r="CP188" s="33"/>
      <c r="CQ188" s="33"/>
      <c r="CR188" s="33"/>
      <c r="CS188" s="33"/>
      <c r="CT188" s="33"/>
      <c r="CU188" s="33"/>
      <c r="CV188">
        <v>2</v>
      </c>
      <c r="CW188">
        <v>2</v>
      </c>
      <c r="CX188">
        <v>2</v>
      </c>
      <c r="CY188">
        <v>2</v>
      </c>
      <c r="DK188" s="41">
        <v>152074</v>
      </c>
      <c r="DL188" s="41" t="s">
        <v>516</v>
      </c>
    </row>
    <row r="189" spans="65:116" ht="15.75" customHeight="1">
      <c r="BM189" t="s">
        <v>474</v>
      </c>
      <c r="BN189">
        <v>37.5</v>
      </c>
      <c r="BO189">
        <f>Table_2[[#This Row],[Pnom]]*1.6*1000</f>
        <v>60000</v>
      </c>
      <c r="BP189">
        <v>800</v>
      </c>
      <c r="BQ189" s="12">
        <v>250</v>
      </c>
      <c r="BR189" s="39">
        <v>60</v>
      </c>
      <c r="BS189" s="33">
        <v>48</v>
      </c>
      <c r="BT189" s="33">
        <v>48</v>
      </c>
      <c r="BU189" s="33">
        <v>60</v>
      </c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>
        <v>40</v>
      </c>
      <c r="CH189" s="33">
        <v>32</v>
      </c>
      <c r="CI189" s="33">
        <v>32</v>
      </c>
      <c r="CJ189" s="33">
        <v>40</v>
      </c>
      <c r="CK189" s="33"/>
      <c r="CL189" s="33"/>
      <c r="CM189" s="33"/>
      <c r="CN189" s="33"/>
      <c r="CO189" s="33"/>
      <c r="CP189" s="33"/>
      <c r="CQ189" s="33"/>
      <c r="CR189" s="33"/>
      <c r="CS189" s="33"/>
      <c r="CT189" s="33"/>
      <c r="CU189" s="33"/>
      <c r="CV189">
        <v>2</v>
      </c>
      <c r="CW189">
        <v>2</v>
      </c>
      <c r="CX189">
        <v>2</v>
      </c>
      <c r="CY189">
        <v>2</v>
      </c>
      <c r="DK189" s="15"/>
      <c r="DL189" s="15"/>
    </row>
    <row r="190" spans="65:116" ht="15.75" customHeight="1">
      <c r="BM190" t="s">
        <v>475</v>
      </c>
      <c r="BN190">
        <v>4</v>
      </c>
      <c r="BO190">
        <f>Table_2[[#This Row],[Pnom]]*1.6*1000</f>
        <v>6400</v>
      </c>
      <c r="BP190">
        <v>580</v>
      </c>
      <c r="BQ190" s="12">
        <v>100</v>
      </c>
      <c r="BR190" s="39">
        <v>18</v>
      </c>
      <c r="BS190" s="33">
        <v>18</v>
      </c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>
        <v>12</v>
      </c>
      <c r="CH190" s="33">
        <v>12</v>
      </c>
      <c r="CI190" s="33"/>
      <c r="CJ190" s="33"/>
      <c r="CK190" s="33"/>
      <c r="CL190" s="33"/>
      <c r="CM190" s="33"/>
      <c r="CN190" s="33"/>
      <c r="CO190" s="33"/>
      <c r="CP190" s="33"/>
      <c r="CQ190" s="33"/>
      <c r="CR190" s="33"/>
      <c r="CS190" s="33"/>
      <c r="CT190" s="33"/>
      <c r="CU190" s="33"/>
      <c r="CV190">
        <v>1</v>
      </c>
      <c r="CW190">
        <v>1</v>
      </c>
      <c r="DK190" s="41"/>
      <c r="DL190" s="41"/>
    </row>
    <row r="191" spans="65:116" ht="15.75" customHeight="1">
      <c r="BM191" t="s">
        <v>476</v>
      </c>
      <c r="BN191">
        <v>40</v>
      </c>
      <c r="BO191">
        <f>IF(OR($B$2="- DAH MONO 555W",$B$2="- LEAPTON - MONO -  560W",$B$2="- Renesola 560W - RS560-560M-E3",$B$2="- DMEGC 560 - DM560M10-72HSW/HBW"),60000,64000)</f>
        <v>64000</v>
      </c>
      <c r="BP191">
        <f>IF(OR($B$2="- DAH MONO 555W",$B$2="- LEAPTON - MONO -  560W",$B$2="- Renesola 560W - RS560-560M-E3",$B$2="- DMEGC 560 - DM560M10-72HSW/HBW"),1100,950)</f>
        <v>950</v>
      </c>
      <c r="BQ191" s="12">
        <v>200</v>
      </c>
      <c r="BR191" s="39">
        <v>48</v>
      </c>
      <c r="BS191" s="33">
        <v>48</v>
      </c>
      <c r="BT191" s="33">
        <v>60</v>
      </c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>
        <v>32</v>
      </c>
      <c r="CH191" s="33">
        <v>32</v>
      </c>
      <c r="CI191" s="33">
        <v>40</v>
      </c>
      <c r="CJ191" s="33"/>
      <c r="CK191" s="33"/>
      <c r="CL191" s="33"/>
      <c r="CM191" s="33"/>
      <c r="CN191" s="33"/>
      <c r="CO191" s="33"/>
      <c r="CP191" s="33"/>
      <c r="CQ191" s="33"/>
      <c r="CR191" s="33"/>
      <c r="CS191" s="33"/>
      <c r="CT191" s="33"/>
      <c r="CU191" s="33"/>
      <c r="CV191">
        <v>2</v>
      </c>
      <c r="CW191">
        <v>2</v>
      </c>
      <c r="CX191">
        <v>2</v>
      </c>
      <c r="DK191" s="15"/>
      <c r="DL191" s="15"/>
    </row>
    <row r="192" spans="65:116" ht="15.75" customHeight="1">
      <c r="BM192" t="s">
        <v>477</v>
      </c>
      <c r="BN192">
        <v>5</v>
      </c>
      <c r="BO192">
        <f>Table_2[[#This Row],[Pnom]]*1.6*1000</f>
        <v>8000</v>
      </c>
      <c r="BP192">
        <v>600</v>
      </c>
      <c r="BQ192" s="12">
        <v>100</v>
      </c>
      <c r="BR192" s="39">
        <v>18</v>
      </c>
      <c r="BS192" s="33">
        <v>18</v>
      </c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  <c r="CE192" s="33"/>
      <c r="CF192" s="33"/>
      <c r="CG192" s="33">
        <v>12</v>
      </c>
      <c r="CH192" s="33">
        <v>12</v>
      </c>
      <c r="CI192" s="33"/>
      <c r="CJ192" s="33"/>
      <c r="CK192" s="33"/>
      <c r="CL192" s="33"/>
      <c r="CM192" s="33"/>
      <c r="CN192" s="33"/>
      <c r="CO192" s="33"/>
      <c r="CP192" s="33"/>
      <c r="CQ192" s="33"/>
      <c r="CR192" s="33"/>
      <c r="CS192" s="33"/>
      <c r="CT192" s="33"/>
      <c r="CU192" s="33"/>
      <c r="CV192">
        <v>1</v>
      </c>
      <c r="CW192">
        <v>1</v>
      </c>
      <c r="DK192" s="41"/>
      <c r="DL192" s="41"/>
    </row>
    <row r="193" spans="65:116" ht="15.75" customHeight="1">
      <c r="BM193" t="s">
        <v>478</v>
      </c>
      <c r="BN193">
        <v>50</v>
      </c>
      <c r="BO193">
        <f>Table_2[[#This Row],[Pnom]]*1.6*1000</f>
        <v>80000</v>
      </c>
      <c r="BP193">
        <v>950</v>
      </c>
      <c r="BQ193" s="12">
        <v>250</v>
      </c>
      <c r="BR193" s="39">
        <v>48</v>
      </c>
      <c r="BS193" s="33">
        <v>48</v>
      </c>
      <c r="BT193" s="33">
        <v>48</v>
      </c>
      <c r="BU193" s="33">
        <v>48</v>
      </c>
      <c r="BV193" s="33">
        <v>48</v>
      </c>
      <c r="BW193" s="33"/>
      <c r="BX193" s="33"/>
      <c r="BY193" s="33"/>
      <c r="BZ193" s="33"/>
      <c r="CA193" s="33"/>
      <c r="CB193" s="33"/>
      <c r="CC193" s="33"/>
      <c r="CD193" s="33"/>
      <c r="CE193" s="33"/>
      <c r="CF193" s="33"/>
      <c r="CG193" s="33">
        <v>32</v>
      </c>
      <c r="CH193" s="33">
        <v>32</v>
      </c>
      <c r="CI193" s="33">
        <v>32</v>
      </c>
      <c r="CJ193" s="33">
        <v>32</v>
      </c>
      <c r="CK193" s="33">
        <v>32</v>
      </c>
      <c r="CL193" s="33"/>
      <c r="CM193" s="33"/>
      <c r="CN193" s="33"/>
      <c r="CO193" s="33"/>
      <c r="CP193" s="33"/>
      <c r="CQ193" s="33"/>
      <c r="CR193" s="33"/>
      <c r="CS193" s="33"/>
      <c r="CT193" s="33"/>
      <c r="CU193" s="33"/>
      <c r="CV193">
        <v>2</v>
      </c>
      <c r="CW193">
        <v>2</v>
      </c>
      <c r="CX193">
        <v>2</v>
      </c>
      <c r="CY193">
        <v>2</v>
      </c>
      <c r="CZ193">
        <v>2</v>
      </c>
      <c r="DK193" s="15">
        <v>143409</v>
      </c>
      <c r="DL193" s="15" t="s">
        <v>516</v>
      </c>
    </row>
    <row r="194" spans="65:116" ht="15.75" customHeight="1">
      <c r="BM194" t="s">
        <v>479</v>
      </c>
      <c r="BN194">
        <v>7.3</v>
      </c>
      <c r="BO194">
        <v>13200</v>
      </c>
      <c r="BP194">
        <v>600</v>
      </c>
      <c r="BQ194" s="12">
        <v>100</v>
      </c>
      <c r="BR194" s="39">
        <v>22.5</v>
      </c>
      <c r="BS194" s="33">
        <v>22.5</v>
      </c>
      <c r="BT194" s="33">
        <v>22.5</v>
      </c>
      <c r="BU194" s="33"/>
      <c r="BV194" s="33"/>
      <c r="BW194" s="33"/>
      <c r="BX194" s="33"/>
      <c r="BY194" s="33"/>
      <c r="BZ194" s="33"/>
      <c r="CA194" s="33"/>
      <c r="CB194" s="33"/>
      <c r="CC194" s="33"/>
      <c r="CD194" s="33"/>
      <c r="CE194" s="33"/>
      <c r="CF194" s="33"/>
      <c r="CG194" s="33">
        <v>16</v>
      </c>
      <c r="CH194" s="33">
        <v>16</v>
      </c>
      <c r="CI194" s="33">
        <v>16</v>
      </c>
      <c r="CJ194" s="33"/>
      <c r="CK194" s="33"/>
      <c r="CL194" s="33"/>
      <c r="CM194" s="33"/>
      <c r="CN194" s="33"/>
      <c r="CO194" s="33"/>
      <c r="CP194" s="33"/>
      <c r="CQ194" s="33"/>
      <c r="CR194" s="33"/>
      <c r="CS194" s="33"/>
      <c r="CT194" s="33"/>
      <c r="CU194" s="33"/>
      <c r="CV194">
        <v>1</v>
      </c>
      <c r="CW194">
        <v>1</v>
      </c>
      <c r="CX194">
        <v>1</v>
      </c>
      <c r="DK194" s="41"/>
      <c r="DL194" s="41"/>
    </row>
    <row r="195" spans="65:116" ht="15.75" customHeight="1">
      <c r="BM195" t="s">
        <v>480</v>
      </c>
      <c r="BN195">
        <v>7.5</v>
      </c>
      <c r="BO195">
        <v>12000</v>
      </c>
      <c r="BP195">
        <v>600</v>
      </c>
      <c r="BQ195" s="12">
        <v>100</v>
      </c>
      <c r="BR195" s="13">
        <v>22.5</v>
      </c>
      <c r="BS195">
        <v>22.5</v>
      </c>
      <c r="BT195">
        <v>22.5</v>
      </c>
      <c r="CG195" s="33">
        <v>16</v>
      </c>
      <c r="CH195" s="33">
        <v>16</v>
      </c>
      <c r="CI195" s="33">
        <v>16</v>
      </c>
      <c r="CJ195" s="33"/>
      <c r="CK195" s="33"/>
      <c r="CL195" s="33"/>
      <c r="CM195" s="33"/>
      <c r="CN195" s="33"/>
      <c r="CO195" s="33"/>
      <c r="CP195" s="33"/>
      <c r="CQ195" s="33"/>
      <c r="CR195" s="33"/>
      <c r="CS195" s="33"/>
      <c r="CT195" s="33"/>
      <c r="CU195" s="33"/>
      <c r="CV195">
        <v>1</v>
      </c>
      <c r="CW195">
        <v>1</v>
      </c>
      <c r="CX195">
        <v>1</v>
      </c>
      <c r="DK195" s="15">
        <v>153992</v>
      </c>
      <c r="DL195" s="15" t="s">
        <v>516</v>
      </c>
    </row>
    <row r="196" spans="65:116" ht="15.75" customHeight="1">
      <c r="BM196" t="s">
        <v>481</v>
      </c>
      <c r="BN196">
        <v>8</v>
      </c>
      <c r="BO196">
        <f>Table_2[[#This Row],[Pnom]]*1.6*1000</f>
        <v>12800</v>
      </c>
      <c r="BP196">
        <v>600</v>
      </c>
      <c r="BQ196" s="12">
        <v>100</v>
      </c>
      <c r="BR196" s="39">
        <v>22.5</v>
      </c>
      <c r="BS196" s="33">
        <v>22.5</v>
      </c>
      <c r="BT196" s="33">
        <v>22.5</v>
      </c>
      <c r="BU196" s="33"/>
      <c r="BV196" s="33"/>
      <c r="BW196" s="33"/>
      <c r="BX196" s="33"/>
      <c r="BY196" s="33"/>
      <c r="BZ196" s="33"/>
      <c r="CA196" s="33"/>
      <c r="CB196" s="33"/>
      <c r="CC196" s="33"/>
      <c r="CD196" s="33"/>
      <c r="CE196" s="33"/>
      <c r="CF196" s="33"/>
      <c r="CG196" s="33">
        <v>16</v>
      </c>
      <c r="CH196" s="33">
        <v>16</v>
      </c>
      <c r="CI196" s="33">
        <v>16</v>
      </c>
      <c r="CJ196" s="33"/>
      <c r="CK196" s="33"/>
      <c r="CL196" s="33"/>
      <c r="CM196" s="33"/>
      <c r="CN196" s="33"/>
      <c r="CO196" s="33"/>
      <c r="CP196" s="33"/>
      <c r="CQ196" s="33"/>
      <c r="CR196" s="33"/>
      <c r="CS196" s="33"/>
      <c r="CT196" s="33"/>
      <c r="CU196" s="33"/>
      <c r="CV196">
        <v>1</v>
      </c>
      <c r="CW196">
        <v>1</v>
      </c>
      <c r="CX196">
        <v>1</v>
      </c>
      <c r="DK196" s="41"/>
      <c r="DL196" s="41"/>
    </row>
    <row r="197" spans="65:116" ht="15.75" customHeight="1">
      <c r="BM197" t="s">
        <v>482</v>
      </c>
      <c r="BN197">
        <v>9.1</v>
      </c>
      <c r="BO197">
        <v>16500</v>
      </c>
      <c r="BP197">
        <v>600</v>
      </c>
      <c r="BQ197" s="12">
        <v>100</v>
      </c>
      <c r="BR197" s="39">
        <v>28</v>
      </c>
      <c r="BS197" s="33">
        <v>22.5</v>
      </c>
      <c r="BT197" s="33">
        <v>28</v>
      </c>
      <c r="BU197" s="33"/>
      <c r="BV197" s="33"/>
      <c r="BW197" s="33"/>
      <c r="BX197" s="33"/>
      <c r="BY197" s="33"/>
      <c r="BZ197" s="33"/>
      <c r="CA197" s="33"/>
      <c r="CB197" s="33"/>
      <c r="CC197" s="33"/>
      <c r="CD197" s="33"/>
      <c r="CE197" s="33"/>
      <c r="CF197" s="33"/>
      <c r="CG197" s="33">
        <v>20</v>
      </c>
      <c r="CH197" s="33">
        <v>16</v>
      </c>
      <c r="CI197" s="33">
        <v>20</v>
      </c>
      <c r="CJ197" s="33"/>
      <c r="CK197" s="33"/>
      <c r="CL197" s="33"/>
      <c r="CM197" s="33"/>
      <c r="CN197" s="33"/>
      <c r="CO197" s="33"/>
      <c r="CP197" s="33"/>
      <c r="CQ197" s="33"/>
      <c r="CR197" s="33"/>
      <c r="CS197" s="33"/>
      <c r="CT197" s="33"/>
      <c r="CU197" s="33"/>
      <c r="CV197">
        <v>1</v>
      </c>
      <c r="CW197">
        <v>1</v>
      </c>
      <c r="CX197">
        <v>1</v>
      </c>
      <c r="DK197" s="15"/>
      <c r="DL197" s="15"/>
    </row>
    <row r="198" spans="65:116" ht="15.75" customHeight="1">
      <c r="BM198" t="s">
        <v>483</v>
      </c>
      <c r="BN198">
        <v>110</v>
      </c>
      <c r="BO198">
        <f>Table_2[[#This Row],[Pnom]]*1.6*1000</f>
        <v>176000</v>
      </c>
      <c r="BP198">
        <v>950</v>
      </c>
      <c r="BQ198" s="12">
        <v>250</v>
      </c>
      <c r="BR198" s="39">
        <v>48</v>
      </c>
      <c r="BS198" s="33">
        <v>48</v>
      </c>
      <c r="BT198" s="33">
        <v>48</v>
      </c>
      <c r="BU198" s="33">
        <v>48</v>
      </c>
      <c r="BV198" s="33">
        <v>48</v>
      </c>
      <c r="BW198" s="33">
        <v>48</v>
      </c>
      <c r="BX198" s="33">
        <v>48</v>
      </c>
      <c r="BY198" s="33">
        <v>48</v>
      </c>
      <c r="BZ198" s="33">
        <v>48</v>
      </c>
      <c r="CA198" s="33">
        <v>48</v>
      </c>
      <c r="CB198" s="33"/>
      <c r="CC198" s="33"/>
      <c r="CD198" s="33"/>
      <c r="CE198" s="33"/>
      <c r="CF198" s="33"/>
      <c r="CG198" s="33">
        <v>32</v>
      </c>
      <c r="CH198" s="33">
        <v>32</v>
      </c>
      <c r="CI198" s="33">
        <v>32</v>
      </c>
      <c r="CJ198" s="33">
        <v>32</v>
      </c>
      <c r="CK198" s="33">
        <v>32</v>
      </c>
      <c r="CL198" s="33">
        <v>32</v>
      </c>
      <c r="CM198" s="33">
        <v>32</v>
      </c>
      <c r="CN198" s="33">
        <v>32</v>
      </c>
      <c r="CO198" s="33">
        <v>32</v>
      </c>
      <c r="CP198" s="33">
        <v>32</v>
      </c>
      <c r="CQ198" s="33"/>
      <c r="CR198" s="33"/>
      <c r="CS198" s="33"/>
      <c r="CT198" s="33"/>
      <c r="CU198" s="33"/>
      <c r="CV198">
        <v>2</v>
      </c>
      <c r="CW198">
        <v>2</v>
      </c>
      <c r="CX198">
        <v>2</v>
      </c>
      <c r="CY198">
        <v>2</v>
      </c>
      <c r="CZ198">
        <v>2</v>
      </c>
      <c r="DA198">
        <v>2</v>
      </c>
      <c r="DB198">
        <v>2</v>
      </c>
      <c r="DC198">
        <v>2</v>
      </c>
      <c r="DD198">
        <v>2</v>
      </c>
      <c r="DE198">
        <v>2</v>
      </c>
      <c r="DK198" s="41"/>
      <c r="DL198" s="41"/>
    </row>
    <row r="199" spans="65:116" ht="15.75" customHeight="1">
      <c r="BM199" t="s">
        <v>484</v>
      </c>
      <c r="BN199">
        <v>12</v>
      </c>
      <c r="BO199">
        <v>18000</v>
      </c>
      <c r="BP199">
        <v>1100</v>
      </c>
      <c r="BQ199" s="12">
        <v>180</v>
      </c>
      <c r="BR199" s="13">
        <v>30</v>
      </c>
      <c r="BS199">
        <v>30</v>
      </c>
      <c r="CG199" s="33">
        <v>20</v>
      </c>
      <c r="CH199" s="33">
        <v>20</v>
      </c>
      <c r="CI199" s="33"/>
      <c r="CJ199" s="33"/>
      <c r="CK199" s="33"/>
      <c r="CL199" s="33"/>
      <c r="CM199" s="33"/>
      <c r="CN199" s="33"/>
      <c r="CO199" s="33"/>
      <c r="CP199" s="33"/>
      <c r="CQ199" s="33"/>
      <c r="CR199" s="33"/>
      <c r="CS199" s="33"/>
      <c r="CT199" s="33"/>
      <c r="CU199" s="33"/>
      <c r="CV199">
        <v>1</v>
      </c>
      <c r="CW199">
        <v>1</v>
      </c>
      <c r="DK199" s="15"/>
      <c r="DL199" s="15"/>
    </row>
    <row r="200" spans="65:116" ht="15.75" customHeight="1">
      <c r="BM200" t="s">
        <v>485</v>
      </c>
      <c r="BN200">
        <v>3</v>
      </c>
      <c r="BO200">
        <f>Table_2[[#This Row],[Pnom]]*1.6*1000</f>
        <v>4800.0000000000009</v>
      </c>
      <c r="BP200">
        <v>580</v>
      </c>
      <c r="BQ200" s="12">
        <v>100</v>
      </c>
      <c r="BR200" s="13">
        <v>24</v>
      </c>
      <c r="BS200">
        <v>24</v>
      </c>
      <c r="CG200" s="12">
        <v>16</v>
      </c>
      <c r="CH200">
        <v>16</v>
      </c>
      <c r="CU200" s="12"/>
      <c r="CV200">
        <v>1</v>
      </c>
      <c r="CW200">
        <v>1</v>
      </c>
      <c r="DK200" s="41">
        <v>152036</v>
      </c>
      <c r="DL200" s="41" t="s">
        <v>516</v>
      </c>
    </row>
    <row r="201" spans="65:116" ht="15.75" customHeight="1">
      <c r="BM201" t="s">
        <v>486</v>
      </c>
      <c r="BN201">
        <v>37.5</v>
      </c>
      <c r="BO201">
        <f>Table_2[[#This Row],[Pnom]]*1000*1.6</f>
        <v>60000</v>
      </c>
      <c r="BP201">
        <v>800</v>
      </c>
      <c r="BQ201" s="12">
        <v>200</v>
      </c>
      <c r="BR201" s="13">
        <v>60</v>
      </c>
      <c r="BS201">
        <v>48</v>
      </c>
      <c r="BT201">
        <v>48</v>
      </c>
      <c r="BU201">
        <v>60</v>
      </c>
      <c r="CG201" s="33">
        <v>40</v>
      </c>
      <c r="CH201" s="33">
        <v>32</v>
      </c>
      <c r="CI201" s="33">
        <v>32</v>
      </c>
      <c r="CJ201" s="33">
        <v>40</v>
      </c>
      <c r="CK201" s="33"/>
      <c r="CL201" s="33"/>
      <c r="CM201" s="33"/>
      <c r="CN201" s="33"/>
      <c r="CO201" s="33"/>
      <c r="CP201" s="33"/>
      <c r="CQ201" s="33"/>
      <c r="CR201" s="33"/>
      <c r="CS201" s="33"/>
      <c r="CT201" s="33"/>
      <c r="CU201" s="33"/>
      <c r="CV201">
        <v>2</v>
      </c>
      <c r="CW201">
        <v>2</v>
      </c>
      <c r="CX201">
        <v>2</v>
      </c>
      <c r="CY201">
        <v>2</v>
      </c>
      <c r="DK201" s="15"/>
      <c r="DL201" s="15"/>
    </row>
    <row r="202" spans="65:116" ht="15.75" customHeight="1">
      <c r="BM202" t="s">
        <v>487</v>
      </c>
      <c r="BN202">
        <v>4</v>
      </c>
      <c r="BO202">
        <f>Table_2[[#This Row],[Pnom]]*1.6*1000</f>
        <v>6400</v>
      </c>
      <c r="BP202">
        <v>600</v>
      </c>
      <c r="BQ202" s="12">
        <v>100</v>
      </c>
      <c r="BR202" s="13">
        <v>24</v>
      </c>
      <c r="BS202">
        <v>24</v>
      </c>
      <c r="BT202" s="33"/>
      <c r="BU202" s="33"/>
      <c r="BV202" s="33"/>
      <c r="BW202" s="33"/>
      <c r="BX202" s="33"/>
      <c r="BY202" s="33"/>
      <c r="BZ202" s="33"/>
      <c r="CA202" s="33"/>
      <c r="CB202" s="33"/>
      <c r="CC202" s="33"/>
      <c r="CD202" s="33"/>
      <c r="CE202" s="33"/>
      <c r="CF202" s="33"/>
      <c r="CG202" s="33">
        <v>16</v>
      </c>
      <c r="CH202" s="33">
        <v>16</v>
      </c>
      <c r="CI202" s="33"/>
      <c r="CJ202" s="33"/>
      <c r="CK202" s="33"/>
      <c r="CL202" s="33"/>
      <c r="CM202" s="33"/>
      <c r="CN202" s="33"/>
      <c r="CO202" s="33"/>
      <c r="CP202" s="33"/>
      <c r="CQ202" s="33"/>
      <c r="CR202" s="33"/>
      <c r="CS202" s="33"/>
      <c r="CT202" s="33"/>
      <c r="CU202" s="33"/>
      <c r="CV202">
        <v>1</v>
      </c>
      <c r="CW202">
        <v>1</v>
      </c>
      <c r="DK202" s="41">
        <v>152038</v>
      </c>
      <c r="DL202" s="41" t="s">
        <v>516</v>
      </c>
    </row>
    <row r="203" spans="65:116" ht="15.75" customHeight="1">
      <c r="BM203" t="s">
        <v>488</v>
      </c>
      <c r="BN203">
        <v>5</v>
      </c>
      <c r="BO203">
        <v>7500</v>
      </c>
      <c r="BP203">
        <v>550</v>
      </c>
      <c r="BQ203" s="12">
        <v>50</v>
      </c>
      <c r="BR203" s="13">
        <v>20</v>
      </c>
      <c r="BS203">
        <v>20</v>
      </c>
      <c r="CG203" s="33">
        <v>16</v>
      </c>
      <c r="CH203" s="33">
        <v>16</v>
      </c>
      <c r="CI203" s="33"/>
      <c r="CJ203" s="33"/>
      <c r="CK203" s="33"/>
      <c r="CL203" s="33"/>
      <c r="CM203" s="33"/>
      <c r="CN203" s="33"/>
      <c r="CO203" s="33"/>
      <c r="CP203" s="33"/>
      <c r="CQ203" s="33"/>
      <c r="CR203" s="33"/>
      <c r="CS203" s="33"/>
      <c r="CT203" s="33"/>
      <c r="CU203" s="33"/>
      <c r="CV203">
        <v>1</v>
      </c>
      <c r="CW203">
        <v>1</v>
      </c>
      <c r="DK203" s="15"/>
      <c r="DL203" s="15"/>
    </row>
    <row r="204" spans="65:116" ht="15.75" customHeight="1">
      <c r="BM204" t="s">
        <v>489</v>
      </c>
      <c r="BN204">
        <v>5</v>
      </c>
      <c r="BO204">
        <f>Table_2[[#This Row],[Pnom]]*1.6*1000</f>
        <v>8000</v>
      </c>
      <c r="BP204">
        <v>600</v>
      </c>
      <c r="BQ204" s="12">
        <v>100</v>
      </c>
      <c r="BR204" s="13">
        <v>24</v>
      </c>
      <c r="BS204">
        <v>24</v>
      </c>
      <c r="BT204" s="33"/>
      <c r="BU204" s="33"/>
      <c r="BV204" s="33"/>
      <c r="BW204" s="33"/>
      <c r="BX204" s="33"/>
      <c r="BY204" s="33"/>
      <c r="BZ204" s="33"/>
      <c r="CA204" s="33"/>
      <c r="CB204" s="33"/>
      <c r="CC204" s="33"/>
      <c r="CD204" s="33"/>
      <c r="CE204" s="33"/>
      <c r="CF204" s="33"/>
      <c r="CG204" s="33">
        <v>16</v>
      </c>
      <c r="CH204" s="33">
        <v>16</v>
      </c>
      <c r="CI204" s="33"/>
      <c r="CJ204" s="33"/>
      <c r="CK204" s="33"/>
      <c r="CL204" s="33"/>
      <c r="CM204" s="33"/>
      <c r="CN204" s="33"/>
      <c r="CO204" s="33"/>
      <c r="CP204" s="33"/>
      <c r="CQ204" s="33"/>
      <c r="CR204" s="33"/>
      <c r="CS204" s="33"/>
      <c r="CT204" s="33"/>
      <c r="CU204" s="33"/>
      <c r="CV204">
        <v>1</v>
      </c>
      <c r="CW204">
        <v>1</v>
      </c>
      <c r="DK204" s="41"/>
      <c r="DL204" s="41"/>
    </row>
    <row r="205" spans="65:116" ht="15.75" customHeight="1">
      <c r="BM205" t="s">
        <v>490</v>
      </c>
      <c r="BN205">
        <v>6</v>
      </c>
      <c r="BO205">
        <v>9600</v>
      </c>
      <c r="BP205">
        <v>550</v>
      </c>
      <c r="BQ205" s="12">
        <v>50</v>
      </c>
      <c r="BR205" s="13">
        <v>20</v>
      </c>
      <c r="BS205">
        <v>20</v>
      </c>
      <c r="CG205" s="12">
        <v>16</v>
      </c>
      <c r="CH205">
        <v>16</v>
      </c>
      <c r="CU205" s="12"/>
      <c r="CV205">
        <v>1</v>
      </c>
      <c r="CW205">
        <v>1</v>
      </c>
      <c r="DK205" s="15"/>
      <c r="DL205" s="15"/>
    </row>
    <row r="206" spans="65:116" ht="15.75" customHeight="1">
      <c r="BM206" t="s">
        <v>491</v>
      </c>
      <c r="BN206">
        <v>6</v>
      </c>
      <c r="BO206">
        <f>Table_2[[#This Row],[Pnom]]*1.6*1000</f>
        <v>9600.0000000000018</v>
      </c>
      <c r="BP206">
        <v>600</v>
      </c>
      <c r="BQ206" s="12">
        <v>100</v>
      </c>
      <c r="BR206" s="13">
        <v>24</v>
      </c>
      <c r="BS206">
        <v>24</v>
      </c>
      <c r="CG206" s="12">
        <v>16</v>
      </c>
      <c r="CH206">
        <v>16</v>
      </c>
      <c r="CU206" s="12"/>
      <c r="CV206">
        <v>1</v>
      </c>
      <c r="CW206">
        <v>1</v>
      </c>
      <c r="DK206" s="41">
        <v>143406</v>
      </c>
      <c r="DL206" s="41" t="s">
        <v>516</v>
      </c>
    </row>
    <row r="207" spans="65:116" ht="15.75" customHeight="1">
      <c r="BM207" t="s">
        <v>492</v>
      </c>
      <c r="BN207">
        <v>60</v>
      </c>
      <c r="BO207">
        <f>Table_2[[#This Row],[Pnom]]*1.6*1000</f>
        <v>96000</v>
      </c>
      <c r="BP207">
        <v>950</v>
      </c>
      <c r="BQ207" s="12">
        <v>250</v>
      </c>
      <c r="BR207" s="13">
        <v>60</v>
      </c>
      <c r="BS207">
        <v>48</v>
      </c>
      <c r="BT207">
        <v>48</v>
      </c>
      <c r="BU207">
        <v>60</v>
      </c>
      <c r="BV207">
        <v>48</v>
      </c>
      <c r="CG207" s="33">
        <v>40</v>
      </c>
      <c r="CH207" s="33">
        <v>32</v>
      </c>
      <c r="CI207" s="33">
        <v>32</v>
      </c>
      <c r="CJ207" s="33">
        <v>40</v>
      </c>
      <c r="CK207" s="33">
        <v>32</v>
      </c>
      <c r="CL207" s="33"/>
      <c r="CM207" s="33"/>
      <c r="CN207" s="33"/>
      <c r="CO207" s="33"/>
      <c r="CP207" s="33"/>
      <c r="CQ207" s="33"/>
      <c r="CR207" s="33"/>
      <c r="CS207" s="33"/>
      <c r="CT207" s="33"/>
      <c r="CU207" s="33"/>
      <c r="CV207">
        <v>2</v>
      </c>
      <c r="CW207">
        <v>2</v>
      </c>
      <c r="CX207">
        <v>2</v>
      </c>
      <c r="CY207">
        <v>2</v>
      </c>
      <c r="CZ207">
        <v>2</v>
      </c>
      <c r="DK207" s="15"/>
      <c r="DL207" s="15"/>
    </row>
    <row r="208" spans="65:116" ht="15.75" customHeight="1">
      <c r="BM208" t="s">
        <v>493</v>
      </c>
      <c r="BN208">
        <v>75</v>
      </c>
      <c r="BO208">
        <f>Table_2[[#This Row],[Pnom]]*1.6*1000</f>
        <v>120000</v>
      </c>
      <c r="BP208">
        <v>950</v>
      </c>
      <c r="BQ208" s="12">
        <v>250</v>
      </c>
      <c r="BR208" s="39">
        <v>48</v>
      </c>
      <c r="BS208" s="33">
        <v>48</v>
      </c>
      <c r="BT208" s="33">
        <v>48</v>
      </c>
      <c r="BU208" s="33">
        <v>48</v>
      </c>
      <c r="BV208" s="33">
        <v>48</v>
      </c>
      <c r="BW208" s="33">
        <v>48</v>
      </c>
      <c r="BX208" s="33">
        <v>48</v>
      </c>
      <c r="BY208" s="33">
        <v>48</v>
      </c>
      <c r="BZ208" s="33"/>
      <c r="CA208" s="33"/>
      <c r="CB208" s="33"/>
      <c r="CC208" s="33"/>
      <c r="CD208" s="33"/>
      <c r="CE208" s="33"/>
      <c r="CF208" s="33"/>
      <c r="CG208" s="33">
        <v>32</v>
      </c>
      <c r="CH208" s="33">
        <v>32</v>
      </c>
      <c r="CI208" s="33">
        <v>32</v>
      </c>
      <c r="CJ208" s="33">
        <v>32</v>
      </c>
      <c r="CK208" s="33">
        <v>32</v>
      </c>
      <c r="CL208" s="33">
        <v>32</v>
      </c>
      <c r="CM208" s="33">
        <v>32</v>
      </c>
      <c r="CN208" s="33">
        <v>32</v>
      </c>
      <c r="CO208" s="33"/>
      <c r="CP208" s="33"/>
      <c r="CQ208" s="33"/>
      <c r="CR208" s="33"/>
      <c r="CS208" s="33"/>
      <c r="CT208" s="33"/>
      <c r="CU208" s="33"/>
      <c r="CV208">
        <v>2</v>
      </c>
      <c r="CW208">
        <v>2</v>
      </c>
      <c r="CX208">
        <v>2</v>
      </c>
      <c r="CY208">
        <v>2</v>
      </c>
      <c r="CZ208">
        <v>2</v>
      </c>
      <c r="DA208">
        <v>2</v>
      </c>
      <c r="DB208">
        <v>2</v>
      </c>
      <c r="DC208">
        <v>2</v>
      </c>
      <c r="DK208" s="41"/>
      <c r="DL208" s="41"/>
    </row>
    <row r="209" spans="65:116" ht="15.75" customHeight="1">
      <c r="BM209" t="s">
        <v>494</v>
      </c>
      <c r="BN209">
        <v>75</v>
      </c>
      <c r="BO209">
        <v>120000</v>
      </c>
      <c r="BP209">
        <v>800</v>
      </c>
      <c r="BQ209" s="12">
        <v>250</v>
      </c>
      <c r="BR209" s="13">
        <v>50</v>
      </c>
      <c r="BS209">
        <v>50</v>
      </c>
      <c r="BT209">
        <v>50</v>
      </c>
      <c r="BU209">
        <v>50</v>
      </c>
      <c r="BV209">
        <v>50</v>
      </c>
      <c r="BW209">
        <v>50</v>
      </c>
      <c r="BX209">
        <v>50</v>
      </c>
      <c r="BY209">
        <v>50</v>
      </c>
      <c r="CG209" s="12">
        <v>40</v>
      </c>
      <c r="CH209">
        <v>40</v>
      </c>
      <c r="CI209">
        <v>40</v>
      </c>
      <c r="CJ209">
        <v>40</v>
      </c>
      <c r="CK209">
        <v>40</v>
      </c>
      <c r="CL209">
        <v>40</v>
      </c>
      <c r="CM209">
        <v>40</v>
      </c>
      <c r="CN209">
        <v>40</v>
      </c>
      <c r="CU209" s="12"/>
      <c r="CV209">
        <v>2</v>
      </c>
      <c r="CW209">
        <v>2</v>
      </c>
      <c r="CX209">
        <v>2</v>
      </c>
      <c r="CY209">
        <v>2</v>
      </c>
      <c r="CZ209">
        <v>2</v>
      </c>
      <c r="DA209">
        <v>2</v>
      </c>
      <c r="DB209">
        <v>2</v>
      </c>
      <c r="DC209">
        <v>2</v>
      </c>
      <c r="DK209" s="15"/>
      <c r="DL209" s="15"/>
    </row>
    <row r="210" spans="65:116" ht="15.75" customHeight="1">
      <c r="BM210" t="s">
        <v>495</v>
      </c>
      <c r="BN210">
        <v>8</v>
      </c>
      <c r="BO210">
        <v>11000</v>
      </c>
      <c r="BP210">
        <v>500</v>
      </c>
      <c r="BQ210" s="12">
        <v>125</v>
      </c>
      <c r="BR210" s="13">
        <v>22</v>
      </c>
      <c r="BS210">
        <v>22</v>
      </c>
      <c r="CG210" s="33">
        <v>22</v>
      </c>
      <c r="CH210" s="33">
        <v>22</v>
      </c>
      <c r="CI210" s="33"/>
      <c r="CJ210" s="33"/>
      <c r="CK210" s="33"/>
      <c r="CL210" s="33"/>
      <c r="CM210" s="33"/>
      <c r="CN210" s="33"/>
      <c r="CO210" s="33"/>
      <c r="CP210" s="33"/>
      <c r="CQ210" s="33"/>
      <c r="CR210" s="33"/>
      <c r="CS210" s="33"/>
      <c r="CT210" s="33"/>
      <c r="CU210" s="33"/>
      <c r="CV210">
        <v>1</v>
      </c>
      <c r="CW210">
        <v>1</v>
      </c>
      <c r="DK210" s="41"/>
      <c r="DL210" s="41"/>
    </row>
    <row r="211" spans="65:116" ht="15.75" customHeight="1">
      <c r="BM211" t="s">
        <v>496</v>
      </c>
      <c r="BN211">
        <v>10</v>
      </c>
      <c r="BO211">
        <f>Table_2[[#This Row],[Pnom]]*1.7*1000</f>
        <v>17000</v>
      </c>
      <c r="BP211">
        <v>600</v>
      </c>
      <c r="BQ211">
        <v>50</v>
      </c>
      <c r="BR211" s="13">
        <v>25</v>
      </c>
      <c r="BS211">
        <v>25</v>
      </c>
      <c r="BT211">
        <v>25</v>
      </c>
      <c r="CG211">
        <v>20</v>
      </c>
      <c r="CH211">
        <v>20</v>
      </c>
      <c r="CI211">
        <v>20</v>
      </c>
      <c r="CV211">
        <v>1</v>
      </c>
      <c r="CW211">
        <v>1</v>
      </c>
      <c r="CX211">
        <v>1</v>
      </c>
      <c r="DK211" s="15"/>
      <c r="DL211" s="15"/>
    </row>
    <row r="212" spans="65:116" ht="15.75" customHeight="1">
      <c r="BM212" t="s">
        <v>497</v>
      </c>
      <c r="BN212">
        <v>110</v>
      </c>
      <c r="BO212">
        <v>220000</v>
      </c>
      <c r="BP212">
        <v>1100</v>
      </c>
      <c r="BQ212" s="12">
        <v>250</v>
      </c>
      <c r="BR212" s="39">
        <v>40</v>
      </c>
      <c r="BS212" s="33">
        <v>40</v>
      </c>
      <c r="BT212" s="33">
        <v>40</v>
      </c>
      <c r="BU212" s="33">
        <v>40</v>
      </c>
      <c r="BV212" s="33">
        <v>40</v>
      </c>
      <c r="BW212" s="33">
        <v>40</v>
      </c>
      <c r="BX212" s="33">
        <v>40</v>
      </c>
      <c r="BY212" s="33">
        <v>40</v>
      </c>
      <c r="BZ212" s="33">
        <v>40</v>
      </c>
      <c r="CA212" s="33"/>
      <c r="CB212" s="33"/>
      <c r="CC212" s="33"/>
      <c r="CD212" s="33"/>
      <c r="CE212" s="33"/>
      <c r="CF212" s="33"/>
      <c r="CG212" s="33">
        <v>26</v>
      </c>
      <c r="CH212" s="33">
        <v>26</v>
      </c>
      <c r="CI212" s="33">
        <v>26</v>
      </c>
      <c r="CJ212" s="33">
        <v>26</v>
      </c>
      <c r="CK212" s="33">
        <v>26</v>
      </c>
      <c r="CL212" s="33">
        <v>26</v>
      </c>
      <c r="CM212" s="33">
        <v>26</v>
      </c>
      <c r="CN212" s="33">
        <v>26</v>
      </c>
      <c r="CO212" s="33">
        <v>26</v>
      </c>
      <c r="CP212" s="33"/>
      <c r="CQ212" s="33"/>
      <c r="CR212" s="33"/>
      <c r="CS212" s="33"/>
      <c r="CT212" s="33"/>
      <c r="CU212" s="33"/>
      <c r="CV212">
        <v>2</v>
      </c>
      <c r="CW212">
        <v>2</v>
      </c>
      <c r="CX212">
        <v>2</v>
      </c>
      <c r="CY212">
        <v>2</v>
      </c>
      <c r="CZ212">
        <v>2</v>
      </c>
      <c r="DA212">
        <v>2</v>
      </c>
      <c r="DB212">
        <v>2</v>
      </c>
      <c r="DC212">
        <v>2</v>
      </c>
      <c r="DD212">
        <v>2</v>
      </c>
      <c r="DK212" s="41"/>
      <c r="DL212" s="41"/>
    </row>
    <row r="213" spans="65:116" ht="15.75" customHeight="1">
      <c r="BM213" t="s">
        <v>498</v>
      </c>
      <c r="BN213">
        <v>110</v>
      </c>
      <c r="BO213">
        <f>Table_2[[#This Row],[Pnom]]*2*1000</f>
        <v>220000</v>
      </c>
      <c r="BP213">
        <v>1100</v>
      </c>
      <c r="BQ213">
        <v>200</v>
      </c>
      <c r="BR213" s="13">
        <v>40</v>
      </c>
      <c r="BS213">
        <v>40</v>
      </c>
      <c r="BT213">
        <v>40</v>
      </c>
      <c r="BU213">
        <v>40</v>
      </c>
      <c r="BV213">
        <v>40</v>
      </c>
      <c r="BW213">
        <v>40</v>
      </c>
      <c r="BX213">
        <v>40</v>
      </c>
      <c r="BY213">
        <v>40</v>
      </c>
      <c r="BZ213">
        <v>40</v>
      </c>
      <c r="CA213">
        <v>40</v>
      </c>
      <c r="CB213">
        <v>40</v>
      </c>
      <c r="CC213">
        <v>40</v>
      </c>
      <c r="CG213">
        <v>30</v>
      </c>
      <c r="CH213">
        <v>30</v>
      </c>
      <c r="CI213">
        <v>30</v>
      </c>
      <c r="CJ213">
        <v>30</v>
      </c>
      <c r="CK213">
        <v>30</v>
      </c>
      <c r="CL213">
        <v>30</v>
      </c>
      <c r="CM213">
        <v>30</v>
      </c>
      <c r="CN213">
        <v>30</v>
      </c>
      <c r="CO213">
        <v>30</v>
      </c>
      <c r="CP213">
        <v>30</v>
      </c>
      <c r="CQ213">
        <v>30</v>
      </c>
      <c r="CR213">
        <v>30</v>
      </c>
      <c r="CV213">
        <v>2</v>
      </c>
      <c r="CW213">
        <v>2</v>
      </c>
      <c r="CX213">
        <v>2</v>
      </c>
      <c r="CY213">
        <v>2</v>
      </c>
      <c r="CZ213">
        <v>2</v>
      </c>
      <c r="DA213">
        <v>2</v>
      </c>
      <c r="DB213">
        <v>2</v>
      </c>
      <c r="DC213">
        <v>2</v>
      </c>
      <c r="DD213">
        <v>2</v>
      </c>
      <c r="DE213">
        <v>2</v>
      </c>
      <c r="DF213">
        <v>2</v>
      </c>
      <c r="DG213">
        <v>2</v>
      </c>
      <c r="DK213" s="15"/>
      <c r="DL213" s="15"/>
    </row>
    <row r="214" spans="65:116" ht="15.75" customHeight="1">
      <c r="BM214" t="s">
        <v>499</v>
      </c>
      <c r="BN214">
        <v>12</v>
      </c>
      <c r="BO214">
        <f>Table_2[[#This Row],[Pnom]]*2*1000</f>
        <v>24000</v>
      </c>
      <c r="BP214">
        <v>1100</v>
      </c>
      <c r="BQ214">
        <v>180</v>
      </c>
      <c r="BR214" s="13">
        <v>40</v>
      </c>
      <c r="BS214">
        <v>20</v>
      </c>
      <c r="CG214">
        <v>32</v>
      </c>
      <c r="CH214">
        <v>16</v>
      </c>
      <c r="CV214">
        <v>2</v>
      </c>
      <c r="CW214">
        <v>1</v>
      </c>
      <c r="DK214" s="41"/>
      <c r="DL214" s="41"/>
    </row>
    <row r="215" spans="65:116" ht="15.75" customHeight="1">
      <c r="BM215" t="s">
        <v>500</v>
      </c>
      <c r="BN215">
        <v>15</v>
      </c>
      <c r="BO215">
        <f>Table_2[[#This Row],[Pnom]]*2*1000</f>
        <v>30000</v>
      </c>
      <c r="BP215">
        <v>1100</v>
      </c>
      <c r="BQ215">
        <v>180</v>
      </c>
      <c r="BR215" s="13">
        <v>40</v>
      </c>
      <c r="BS215">
        <v>40</v>
      </c>
      <c r="CG215">
        <v>32</v>
      </c>
      <c r="CH215">
        <v>32</v>
      </c>
      <c r="CV215">
        <v>2</v>
      </c>
      <c r="CW215">
        <v>2</v>
      </c>
      <c r="DK215" s="15"/>
      <c r="DL215" s="15"/>
    </row>
    <row r="216" spans="65:116" ht="15.75" customHeight="1">
      <c r="BM216" t="s">
        <v>501</v>
      </c>
      <c r="BN216">
        <v>20</v>
      </c>
      <c r="BO216">
        <f>Table_2[[#This Row],[Pnom]]*2*1000</f>
        <v>40000</v>
      </c>
      <c r="BP216">
        <v>1100</v>
      </c>
      <c r="BQ216">
        <v>180</v>
      </c>
      <c r="BR216" s="13">
        <v>40</v>
      </c>
      <c r="BS216">
        <v>40</v>
      </c>
      <c r="CG216">
        <v>32</v>
      </c>
      <c r="CH216">
        <v>32</v>
      </c>
      <c r="CV216">
        <v>2</v>
      </c>
      <c r="CW216">
        <v>2</v>
      </c>
      <c r="DK216" s="41"/>
      <c r="DL216" s="41"/>
    </row>
    <row r="217" spans="65:116" ht="15.75" customHeight="1">
      <c r="BM217" t="s">
        <v>502</v>
      </c>
      <c r="BN217">
        <v>250</v>
      </c>
      <c r="BO217">
        <v>500000</v>
      </c>
      <c r="BP217">
        <v>1500</v>
      </c>
      <c r="BQ217">
        <v>500</v>
      </c>
      <c r="BR217" s="39">
        <v>50</v>
      </c>
      <c r="BS217" s="33">
        <v>50</v>
      </c>
      <c r="BT217" s="33">
        <v>50</v>
      </c>
      <c r="BU217" s="33">
        <v>50</v>
      </c>
      <c r="BV217" s="33">
        <v>50</v>
      </c>
      <c r="BW217" s="33">
        <v>50</v>
      </c>
      <c r="BX217" s="33">
        <v>50</v>
      </c>
      <c r="BY217" s="33">
        <v>50</v>
      </c>
      <c r="BZ217" s="33">
        <v>50</v>
      </c>
      <c r="CA217" s="33">
        <v>50</v>
      </c>
      <c r="CB217" s="33">
        <v>50</v>
      </c>
      <c r="CC217" s="33">
        <v>50</v>
      </c>
      <c r="CD217" s="33"/>
      <c r="CE217" s="33"/>
      <c r="CF217" s="33"/>
      <c r="CG217" s="33">
        <v>30</v>
      </c>
      <c r="CH217" s="33">
        <v>30</v>
      </c>
      <c r="CI217" s="33">
        <v>30</v>
      </c>
      <c r="CJ217" s="33">
        <v>30</v>
      </c>
      <c r="CK217" s="33">
        <v>30</v>
      </c>
      <c r="CL217" s="33">
        <v>30</v>
      </c>
      <c r="CM217" s="33">
        <v>30</v>
      </c>
      <c r="CN217" s="33">
        <v>30</v>
      </c>
      <c r="CO217" s="33">
        <v>30</v>
      </c>
      <c r="CP217" s="33">
        <v>30</v>
      </c>
      <c r="CQ217" s="33">
        <v>30</v>
      </c>
      <c r="CR217" s="33">
        <v>30</v>
      </c>
      <c r="CS217" s="33"/>
      <c r="CT217" s="33"/>
      <c r="CU217" s="33"/>
      <c r="CV217">
        <v>2</v>
      </c>
      <c r="CW217">
        <v>2</v>
      </c>
      <c r="CX217">
        <v>2</v>
      </c>
      <c r="CY217">
        <v>2</v>
      </c>
      <c r="CZ217">
        <v>2</v>
      </c>
      <c r="DA217">
        <v>2</v>
      </c>
      <c r="DB217">
        <v>2</v>
      </c>
      <c r="DC217">
        <v>2</v>
      </c>
      <c r="DD217">
        <v>2</v>
      </c>
      <c r="DE217">
        <v>2</v>
      </c>
      <c r="DF217">
        <v>2</v>
      </c>
      <c r="DG217">
        <v>2</v>
      </c>
      <c r="DH217" s="59"/>
      <c r="DK217" s="15"/>
      <c r="DL217" s="15"/>
    </row>
    <row r="218" spans="65:116" ht="15.75" customHeight="1">
      <c r="BM218" t="s">
        <v>503</v>
      </c>
      <c r="BN218">
        <v>25</v>
      </c>
      <c r="BO218">
        <v>50000</v>
      </c>
      <c r="BP218">
        <v>1100</v>
      </c>
      <c r="BQ218">
        <v>250</v>
      </c>
      <c r="BR218" s="13">
        <v>40</v>
      </c>
      <c r="BS218">
        <v>40</v>
      </c>
      <c r="BT218">
        <v>40</v>
      </c>
      <c r="CG218">
        <v>26</v>
      </c>
      <c r="CH218">
        <v>26</v>
      </c>
      <c r="CV218">
        <v>2</v>
      </c>
      <c r="CW218">
        <v>2</v>
      </c>
      <c r="CX218">
        <v>2</v>
      </c>
      <c r="DK218" s="41"/>
      <c r="DL218" s="41"/>
    </row>
    <row r="219" spans="65:116" ht="15.75" customHeight="1">
      <c r="BM219" t="s">
        <v>504</v>
      </c>
      <c r="BN219">
        <v>25</v>
      </c>
      <c r="BO219">
        <f>Table_2[[#This Row],[Pnom]]*2*1000</f>
        <v>50000</v>
      </c>
      <c r="BP219">
        <v>1100</v>
      </c>
      <c r="BQ219">
        <v>200</v>
      </c>
      <c r="BR219">
        <v>40</v>
      </c>
      <c r="BS219">
        <v>40</v>
      </c>
      <c r="BT219">
        <v>40</v>
      </c>
      <c r="CG219">
        <v>30</v>
      </c>
      <c r="CH219">
        <v>30</v>
      </c>
      <c r="CI219">
        <v>30</v>
      </c>
      <c r="CV219">
        <v>2</v>
      </c>
      <c r="CW219">
        <v>2</v>
      </c>
      <c r="CX219">
        <v>2</v>
      </c>
      <c r="DK219" s="15"/>
      <c r="DL219" s="15"/>
    </row>
    <row r="220" spans="65:116" ht="15.75" customHeight="1">
      <c r="BM220" t="s">
        <v>505</v>
      </c>
      <c r="BN220">
        <v>30</v>
      </c>
      <c r="BO220">
        <f>Table_2[[#This Row],[Pnom]]*2*1000</f>
        <v>60000</v>
      </c>
      <c r="BP220">
        <v>1100</v>
      </c>
      <c r="BQ220">
        <v>200</v>
      </c>
      <c r="BR220">
        <v>40</v>
      </c>
      <c r="BS220">
        <v>40</v>
      </c>
      <c r="BT220">
        <v>40</v>
      </c>
      <c r="CG220">
        <v>30</v>
      </c>
      <c r="CH220">
        <v>30</v>
      </c>
      <c r="CI220">
        <v>30</v>
      </c>
      <c r="CV220">
        <v>2</v>
      </c>
      <c r="CW220">
        <v>2</v>
      </c>
      <c r="CX220">
        <v>2</v>
      </c>
      <c r="DK220" s="41"/>
      <c r="DL220" s="41"/>
    </row>
    <row r="221" spans="65:116" ht="15.75" customHeight="1">
      <c r="BM221" t="s">
        <v>506</v>
      </c>
      <c r="BN221">
        <v>333</v>
      </c>
      <c r="BO221">
        <v>666000</v>
      </c>
      <c r="BP221">
        <v>1500</v>
      </c>
      <c r="BQ221">
        <v>880</v>
      </c>
      <c r="BR221" s="33">
        <v>60</v>
      </c>
      <c r="BS221" s="33">
        <v>60</v>
      </c>
      <c r="BT221" s="33">
        <v>60</v>
      </c>
      <c r="BU221" s="33">
        <v>60</v>
      </c>
      <c r="BV221" s="33">
        <v>60</v>
      </c>
      <c r="BW221" s="33">
        <v>60</v>
      </c>
      <c r="BX221" s="33">
        <v>60</v>
      </c>
      <c r="BY221" s="33">
        <v>60</v>
      </c>
      <c r="BZ221" s="33">
        <v>60</v>
      </c>
      <c r="CA221" s="33">
        <v>60</v>
      </c>
      <c r="CB221" s="33">
        <v>60</v>
      </c>
      <c r="CC221" s="33">
        <v>60</v>
      </c>
      <c r="CD221" s="33"/>
      <c r="CE221" s="33"/>
      <c r="CF221" s="33"/>
      <c r="CG221" s="33">
        <v>40</v>
      </c>
      <c r="CH221" s="33">
        <v>40</v>
      </c>
      <c r="CI221" s="33">
        <v>40</v>
      </c>
      <c r="CJ221" s="33">
        <v>40</v>
      </c>
      <c r="CK221" s="33">
        <v>40</v>
      </c>
      <c r="CL221" s="33">
        <v>40</v>
      </c>
      <c r="CM221" s="33">
        <v>40</v>
      </c>
      <c r="CN221" s="33">
        <v>40</v>
      </c>
      <c r="CO221" s="33">
        <v>40</v>
      </c>
      <c r="CP221" s="33">
        <v>40</v>
      </c>
      <c r="CQ221" s="33">
        <v>40</v>
      </c>
      <c r="CR221" s="33">
        <v>40</v>
      </c>
      <c r="CS221" s="33"/>
      <c r="CT221" s="33"/>
      <c r="CU221" s="33"/>
      <c r="CV221">
        <v>2</v>
      </c>
      <c r="CW221">
        <v>2</v>
      </c>
      <c r="CX221">
        <v>2</v>
      </c>
      <c r="CY221">
        <v>2</v>
      </c>
      <c r="CZ221">
        <v>2</v>
      </c>
      <c r="DA221">
        <v>2</v>
      </c>
      <c r="DB221">
        <v>2</v>
      </c>
      <c r="DC221">
        <v>2</v>
      </c>
      <c r="DD221">
        <v>2</v>
      </c>
      <c r="DE221">
        <v>2</v>
      </c>
      <c r="DF221">
        <v>2</v>
      </c>
      <c r="DG221">
        <v>2</v>
      </c>
      <c r="DH221" s="59"/>
      <c r="DK221" s="15"/>
      <c r="DL221" s="15"/>
    </row>
    <row r="222" spans="65:116" ht="15.75" customHeight="1">
      <c r="BM222" t="s">
        <v>507</v>
      </c>
      <c r="BN222">
        <v>350</v>
      </c>
      <c r="BO222">
        <v>700000</v>
      </c>
      <c r="BP222">
        <v>1500</v>
      </c>
      <c r="BQ222">
        <v>880</v>
      </c>
      <c r="BR222" s="33">
        <v>60</v>
      </c>
      <c r="BS222" s="33">
        <v>60</v>
      </c>
      <c r="BT222" s="33">
        <v>60</v>
      </c>
      <c r="BU222" s="33">
        <v>60</v>
      </c>
      <c r="BV222" s="33">
        <v>60</v>
      </c>
      <c r="BW222" s="33">
        <v>60</v>
      </c>
      <c r="BX222" s="33">
        <v>60</v>
      </c>
      <c r="BY222" s="33">
        <v>60</v>
      </c>
      <c r="BZ222" s="33">
        <v>60</v>
      </c>
      <c r="CA222" s="33">
        <v>60</v>
      </c>
      <c r="CB222" s="33">
        <v>60</v>
      </c>
      <c r="CC222" s="33">
        <v>60</v>
      </c>
      <c r="CD222" s="33"/>
      <c r="CE222" s="33"/>
      <c r="CF222" s="33"/>
      <c r="CG222" s="33">
        <v>40</v>
      </c>
      <c r="CH222" s="33">
        <v>40</v>
      </c>
      <c r="CI222" s="33">
        <v>40</v>
      </c>
      <c r="CJ222" s="33">
        <v>40</v>
      </c>
      <c r="CK222" s="33">
        <v>40</v>
      </c>
      <c r="CL222" s="33">
        <v>40</v>
      </c>
      <c r="CM222" s="33">
        <v>40</v>
      </c>
      <c r="CN222" s="33">
        <v>40</v>
      </c>
      <c r="CO222" s="33">
        <v>40</v>
      </c>
      <c r="CP222" s="33">
        <v>40</v>
      </c>
      <c r="CQ222" s="33">
        <v>40</v>
      </c>
      <c r="CR222" s="33">
        <v>40</v>
      </c>
      <c r="CS222" s="33"/>
      <c r="CT222" s="33"/>
      <c r="CU222" s="33"/>
      <c r="CV222">
        <v>2</v>
      </c>
      <c r="CW222">
        <v>2</v>
      </c>
      <c r="CX222">
        <v>2</v>
      </c>
      <c r="CY222">
        <v>2</v>
      </c>
      <c r="CZ222">
        <v>2</v>
      </c>
      <c r="DA222">
        <v>2</v>
      </c>
      <c r="DB222">
        <v>2</v>
      </c>
      <c r="DC222">
        <v>2</v>
      </c>
      <c r="DD222">
        <v>2</v>
      </c>
      <c r="DE222">
        <v>2</v>
      </c>
      <c r="DF222">
        <v>2</v>
      </c>
      <c r="DG222">
        <v>2</v>
      </c>
      <c r="DH222" s="59"/>
      <c r="DK222" s="41"/>
      <c r="DL222" s="41"/>
    </row>
    <row r="223" spans="65:116" ht="15.75" customHeight="1">
      <c r="BM223" t="s">
        <v>508</v>
      </c>
      <c r="BN223">
        <v>36</v>
      </c>
      <c r="BO223">
        <f>Table_2[[#This Row],[Pnom]]*2*1000</f>
        <v>72000</v>
      </c>
      <c r="BP223">
        <v>1100</v>
      </c>
      <c r="BQ223">
        <v>200</v>
      </c>
      <c r="BR223">
        <v>40</v>
      </c>
      <c r="BS223">
        <v>40</v>
      </c>
      <c r="BT223">
        <v>40</v>
      </c>
      <c r="BU223">
        <v>40</v>
      </c>
      <c r="CG223">
        <v>30</v>
      </c>
      <c r="CH223">
        <v>30</v>
      </c>
      <c r="CI223">
        <v>30</v>
      </c>
      <c r="CJ223">
        <v>30</v>
      </c>
      <c r="CV223">
        <v>2</v>
      </c>
      <c r="CW223">
        <v>2</v>
      </c>
      <c r="CX223">
        <v>2</v>
      </c>
      <c r="CY223">
        <v>2</v>
      </c>
      <c r="DK223" s="15"/>
      <c r="DL223" s="15"/>
    </row>
    <row r="224" spans="65:116" ht="15.75" customHeight="1">
      <c r="BM224" t="s">
        <v>509</v>
      </c>
      <c r="BN224">
        <v>40</v>
      </c>
      <c r="BO224">
        <v>80000</v>
      </c>
      <c r="BP224">
        <v>1100</v>
      </c>
      <c r="BQ224">
        <v>200</v>
      </c>
      <c r="BR224">
        <v>40</v>
      </c>
      <c r="BS224">
        <v>40</v>
      </c>
      <c r="BT224">
        <v>40</v>
      </c>
      <c r="BU224">
        <v>40</v>
      </c>
      <c r="CG224">
        <v>30</v>
      </c>
      <c r="CH224">
        <v>30</v>
      </c>
      <c r="CI224">
        <v>30</v>
      </c>
      <c r="CJ224">
        <v>30</v>
      </c>
      <c r="CV224">
        <v>2</v>
      </c>
      <c r="CW224">
        <v>2</v>
      </c>
      <c r="CX224">
        <v>2</v>
      </c>
      <c r="CY224">
        <v>2</v>
      </c>
      <c r="DK224" s="41"/>
      <c r="DL224" s="41"/>
    </row>
    <row r="225" spans="65:116" ht="15.75" customHeight="1">
      <c r="BM225" t="s">
        <v>510</v>
      </c>
      <c r="BN225">
        <v>5</v>
      </c>
      <c r="BO225">
        <f>Table_2[[#This Row],[Pnom]]*1.7*1000</f>
        <v>8500</v>
      </c>
      <c r="BP225">
        <v>600</v>
      </c>
      <c r="BQ225">
        <v>50</v>
      </c>
      <c r="BR225">
        <v>25</v>
      </c>
      <c r="BS225">
        <v>25</v>
      </c>
      <c r="CG225">
        <v>20</v>
      </c>
      <c r="CH225">
        <v>20</v>
      </c>
      <c r="CV225">
        <v>1</v>
      </c>
      <c r="CW225">
        <v>1</v>
      </c>
      <c r="DK225" s="15"/>
      <c r="DL225" s="15"/>
    </row>
    <row r="226" spans="65:116" ht="15.75" customHeight="1">
      <c r="BM226" t="s">
        <v>511</v>
      </c>
      <c r="BN226">
        <v>50</v>
      </c>
      <c r="BO226">
        <f>Table_2[[#This Row],[Pnom]]*2*1000</f>
        <v>100000</v>
      </c>
      <c r="BP226">
        <v>850</v>
      </c>
      <c r="BQ226">
        <v>200</v>
      </c>
      <c r="BR226">
        <v>40</v>
      </c>
      <c r="BS226">
        <v>40</v>
      </c>
      <c r="BT226">
        <v>40</v>
      </c>
      <c r="BU226">
        <v>40</v>
      </c>
      <c r="BV226">
        <v>40</v>
      </c>
      <c r="BW226">
        <v>40</v>
      </c>
      <c r="BX226">
        <v>40</v>
      </c>
      <c r="BY226">
        <v>40</v>
      </c>
      <c r="CG226">
        <v>30</v>
      </c>
      <c r="CH226">
        <v>30</v>
      </c>
      <c r="CI226">
        <v>30</v>
      </c>
      <c r="CJ226">
        <v>30</v>
      </c>
      <c r="CK226">
        <v>30</v>
      </c>
      <c r="CL226">
        <v>30</v>
      </c>
      <c r="CM226">
        <v>30</v>
      </c>
      <c r="CN226">
        <v>30</v>
      </c>
      <c r="CV226">
        <v>2</v>
      </c>
      <c r="CW226">
        <v>2</v>
      </c>
      <c r="CX226">
        <v>2</v>
      </c>
      <c r="CY226">
        <v>2</v>
      </c>
      <c r="CZ226">
        <v>2</v>
      </c>
      <c r="DA226">
        <v>2</v>
      </c>
      <c r="DB226">
        <v>2</v>
      </c>
      <c r="DC226">
        <v>2</v>
      </c>
      <c r="DK226" s="41"/>
      <c r="DL226" s="41"/>
    </row>
    <row r="227" spans="65:116" ht="15.75" customHeight="1">
      <c r="BM227" t="s">
        <v>512</v>
      </c>
      <c r="BN227">
        <v>6</v>
      </c>
      <c r="BO227">
        <f>Table_2[[#This Row],[Pnom]]*1.7*1000</f>
        <v>10200</v>
      </c>
      <c r="BP227">
        <v>600</v>
      </c>
      <c r="BQ227">
        <v>50</v>
      </c>
      <c r="BR227">
        <v>25</v>
      </c>
      <c r="BS227">
        <v>25</v>
      </c>
      <c r="CG227">
        <v>20</v>
      </c>
      <c r="CH227">
        <v>20</v>
      </c>
      <c r="CV227">
        <v>1</v>
      </c>
      <c r="CW227">
        <v>1</v>
      </c>
      <c r="DK227" s="15"/>
      <c r="DL227" s="15"/>
    </row>
    <row r="228" spans="65:116" ht="15.75" customHeight="1">
      <c r="BM228" t="s">
        <v>513</v>
      </c>
      <c r="BN228">
        <v>7.5</v>
      </c>
      <c r="BO228">
        <f>Table_2[[#This Row],[Pnom]]*1.7*1000</f>
        <v>12750</v>
      </c>
      <c r="BP228">
        <v>600</v>
      </c>
      <c r="BQ228">
        <v>50</v>
      </c>
      <c r="BR228">
        <v>25</v>
      </c>
      <c r="BS228">
        <v>25</v>
      </c>
      <c r="BT228">
        <v>25</v>
      </c>
      <c r="CG228">
        <v>20</v>
      </c>
      <c r="CH228">
        <v>20</v>
      </c>
      <c r="CI228">
        <v>20</v>
      </c>
      <c r="CV228">
        <v>1</v>
      </c>
      <c r="CW228">
        <v>1</v>
      </c>
      <c r="CX228">
        <v>1</v>
      </c>
      <c r="DK228" s="41"/>
      <c r="DL228" s="41"/>
    </row>
    <row r="229" spans="65:116" ht="15.75" customHeight="1">
      <c r="BM229" t="s">
        <v>514</v>
      </c>
      <c r="BN229">
        <v>75</v>
      </c>
      <c r="BO229">
        <v>150000</v>
      </c>
      <c r="BP229">
        <v>1100</v>
      </c>
      <c r="BQ229">
        <v>250</v>
      </c>
      <c r="BR229" s="33">
        <v>40</v>
      </c>
      <c r="BS229" s="33">
        <v>40</v>
      </c>
      <c r="BT229" s="33">
        <v>40</v>
      </c>
      <c r="BU229" s="33">
        <v>40</v>
      </c>
      <c r="BV229" s="33">
        <v>40</v>
      </c>
      <c r="BW229" s="33">
        <v>40</v>
      </c>
      <c r="BX229" s="33">
        <v>40</v>
      </c>
      <c r="BY229" s="33">
        <v>40</v>
      </c>
      <c r="BZ229" s="33">
        <v>40</v>
      </c>
      <c r="CA229" s="33"/>
      <c r="CB229" s="33"/>
      <c r="CC229" s="33"/>
      <c r="CD229" s="33"/>
      <c r="CE229" s="33"/>
      <c r="CF229" s="33"/>
      <c r="CG229" s="33">
        <v>26</v>
      </c>
      <c r="CH229" s="33">
        <v>26</v>
      </c>
      <c r="CI229" s="33">
        <v>26</v>
      </c>
      <c r="CJ229" s="33">
        <v>26</v>
      </c>
      <c r="CK229" s="33">
        <v>26</v>
      </c>
      <c r="CL229" s="33">
        <v>26</v>
      </c>
      <c r="CM229" s="33">
        <v>26</v>
      </c>
      <c r="CN229" s="33">
        <v>26</v>
      </c>
      <c r="CO229" s="33">
        <v>26</v>
      </c>
      <c r="CP229" s="33"/>
      <c r="CQ229" s="33"/>
      <c r="CR229" s="33"/>
      <c r="CS229" s="33"/>
      <c r="CT229" s="33"/>
      <c r="CU229" s="33"/>
      <c r="CV229">
        <v>2</v>
      </c>
      <c r="CW229">
        <v>2</v>
      </c>
      <c r="CX229">
        <v>2</v>
      </c>
      <c r="CY229">
        <v>2</v>
      </c>
      <c r="CZ229">
        <v>2</v>
      </c>
      <c r="DA229">
        <v>2</v>
      </c>
      <c r="DB229">
        <v>2</v>
      </c>
      <c r="DC229">
        <v>2</v>
      </c>
      <c r="DD229">
        <v>2</v>
      </c>
      <c r="DK229" s="15"/>
      <c r="DL229" s="15"/>
    </row>
    <row r="230" spans="65:116" ht="15.75" customHeight="1">
      <c r="BM230" t="s">
        <v>515</v>
      </c>
      <c r="BN230">
        <v>75</v>
      </c>
      <c r="BO230">
        <v>150000</v>
      </c>
      <c r="BP230">
        <v>1100</v>
      </c>
      <c r="BQ230">
        <v>200</v>
      </c>
      <c r="BR230" s="13">
        <v>40</v>
      </c>
      <c r="BS230">
        <v>40</v>
      </c>
      <c r="BT230">
        <v>40</v>
      </c>
      <c r="BU230">
        <v>40</v>
      </c>
      <c r="BV230">
        <v>40</v>
      </c>
      <c r="BW230">
        <v>40</v>
      </c>
      <c r="BX230">
        <v>40</v>
      </c>
      <c r="BY230">
        <v>40</v>
      </c>
      <c r="CF230" s="14"/>
      <c r="CG230">
        <v>30</v>
      </c>
      <c r="CH230">
        <v>30</v>
      </c>
      <c r="CI230">
        <v>30</v>
      </c>
      <c r="CJ230">
        <v>30</v>
      </c>
      <c r="CK230">
        <v>30</v>
      </c>
      <c r="CL230">
        <v>30</v>
      </c>
      <c r="CM230">
        <v>30</v>
      </c>
      <c r="CN230">
        <v>30</v>
      </c>
      <c r="CU230" s="14"/>
      <c r="CV230">
        <v>2</v>
      </c>
      <c r="CW230">
        <v>2</v>
      </c>
      <c r="CX230">
        <v>2</v>
      </c>
      <c r="CY230">
        <v>2</v>
      </c>
      <c r="CZ230">
        <v>2</v>
      </c>
      <c r="DA230">
        <v>2</v>
      </c>
      <c r="DB230">
        <v>2</v>
      </c>
      <c r="DC230">
        <v>2</v>
      </c>
      <c r="DK230" s="41"/>
      <c r="DL230" s="41"/>
    </row>
    <row r="231" spans="65:116" ht="15.75" customHeight="1">
      <c r="DK231" s="15"/>
      <c r="DL231" s="15"/>
    </row>
    <row r="232" spans="65:116" ht="15.75" customHeight="1">
      <c r="DK232" s="41"/>
      <c r="DL232" s="41"/>
    </row>
    <row r="233" spans="65:116" ht="15.75" customHeight="1">
      <c r="DK233" s="15"/>
      <c r="DL233" s="15"/>
    </row>
    <row r="234" spans="65:116" ht="15.75" customHeight="1">
      <c r="DK234" s="41"/>
      <c r="DL234" s="41"/>
    </row>
    <row r="235" spans="65:116" ht="15.75" customHeight="1">
      <c r="DK235" s="15"/>
      <c r="DL235" s="15"/>
    </row>
    <row r="236" spans="65:116" ht="15.75" customHeight="1">
      <c r="DK236" s="41"/>
      <c r="DL236" s="41"/>
    </row>
    <row r="237" spans="65:116" ht="15.75" customHeight="1">
      <c r="DK237" s="15"/>
      <c r="DL237" s="15"/>
    </row>
    <row r="238" spans="65:116" ht="15.75" customHeight="1">
      <c r="DK238" s="41"/>
      <c r="DL238" s="41"/>
    </row>
    <row r="239" spans="65:116" ht="15.75" customHeight="1">
      <c r="DK239" s="15"/>
      <c r="DL239" s="15"/>
    </row>
    <row r="240" spans="65:116" ht="15.75" customHeight="1">
      <c r="DK240" s="41"/>
      <c r="DL240" s="41"/>
    </row>
    <row r="241" spans="115:116" ht="15.75" customHeight="1">
      <c r="DK241" s="15"/>
      <c r="DL241" s="15"/>
    </row>
    <row r="242" spans="115:116" ht="15.75" customHeight="1">
      <c r="DK242" s="41"/>
      <c r="DL242" s="41"/>
    </row>
    <row r="243" spans="115:116" ht="15.75" customHeight="1">
      <c r="DK243" s="15"/>
      <c r="DL243" s="15"/>
    </row>
    <row r="244" spans="115:116" ht="15.75" customHeight="1">
      <c r="DK244" s="41"/>
      <c r="DL244" s="41"/>
    </row>
    <row r="245" spans="115:116" ht="15.75" customHeight="1">
      <c r="DK245" s="15"/>
      <c r="DL245" s="15"/>
    </row>
    <row r="246" spans="115:116" ht="15.75" customHeight="1">
      <c r="DK246" s="41"/>
      <c r="DL246" s="41"/>
    </row>
    <row r="247" spans="115:116" ht="15.75" customHeight="1">
      <c r="DK247" s="15"/>
      <c r="DL247" s="15"/>
    </row>
    <row r="248" spans="115:116" ht="15.75" customHeight="1">
      <c r="DK248" s="41"/>
      <c r="DL248" s="41"/>
    </row>
    <row r="249" spans="115:116" ht="15.75" customHeight="1">
      <c r="DK249" s="15"/>
      <c r="DL249" s="15"/>
    </row>
    <row r="250" spans="115:116" ht="15.75" customHeight="1">
      <c r="DK250" s="41"/>
      <c r="DL250" s="41"/>
    </row>
    <row r="251" spans="115:116" ht="15.75" customHeight="1">
      <c r="DK251" s="15"/>
      <c r="DL251" s="15"/>
    </row>
    <row r="252" spans="115:116" ht="15.75" customHeight="1">
      <c r="DK252" s="41"/>
      <c r="DL252" s="41"/>
    </row>
    <row r="253" spans="115:116" ht="15.75" customHeight="1">
      <c r="DK253" s="15"/>
      <c r="DL253" s="15"/>
    </row>
    <row r="254" spans="115:116" ht="15.75" customHeight="1">
      <c r="DK254" s="41"/>
      <c r="DL254" s="41"/>
    </row>
    <row r="255" spans="115:116" ht="15.75" customHeight="1">
      <c r="DK255" s="15"/>
      <c r="DL255" s="15"/>
    </row>
    <row r="256" spans="115:116" ht="15.75" customHeight="1">
      <c r="DK256" s="41"/>
      <c r="DL256" s="41"/>
    </row>
    <row r="257" spans="115:116" ht="15.75" customHeight="1">
      <c r="DK257" s="15"/>
      <c r="DL257" s="15"/>
    </row>
    <row r="258" spans="115:116" ht="15.75" customHeight="1">
      <c r="DK258" s="41"/>
      <c r="DL258" s="41"/>
    </row>
    <row r="259" spans="115:116" ht="15.75" customHeight="1">
      <c r="DK259" s="15"/>
      <c r="DL259" s="15"/>
    </row>
    <row r="260" spans="115:116" ht="15.75" customHeight="1">
      <c r="DK260" s="41"/>
      <c r="DL260" s="41"/>
    </row>
    <row r="261" spans="115:116" ht="15.75" customHeight="1">
      <c r="DK261" s="15"/>
      <c r="DL261" s="15"/>
    </row>
    <row r="262" spans="115:116" ht="15.75" customHeight="1">
      <c r="DK262" s="41"/>
      <c r="DL262" s="41"/>
    </row>
    <row r="263" spans="115:116" ht="15.75" customHeight="1">
      <c r="DK263" s="15"/>
      <c r="DL263" s="15"/>
    </row>
    <row r="264" spans="115:116" ht="15.75" customHeight="1">
      <c r="DK264" s="41"/>
      <c r="DL264" s="41"/>
    </row>
    <row r="265" spans="115:116" ht="15.75" customHeight="1">
      <c r="DK265" s="15"/>
      <c r="DL265" s="15"/>
    </row>
    <row r="266" spans="115:116" ht="15.75" customHeight="1">
      <c r="DK266" s="41"/>
      <c r="DL266" s="41"/>
    </row>
    <row r="267" spans="115:116" ht="15.75" customHeight="1">
      <c r="DK267" s="15"/>
      <c r="DL267" s="15"/>
    </row>
    <row r="268" spans="115:116" ht="15.75" customHeight="1">
      <c r="DK268" s="41"/>
      <c r="DL268" s="41"/>
    </row>
    <row r="269" spans="115:116" ht="15.75" customHeight="1">
      <c r="DK269" s="15"/>
      <c r="DL269" s="15"/>
    </row>
    <row r="270" spans="115:116" ht="15.75" customHeight="1">
      <c r="DK270" s="41"/>
      <c r="DL270" s="41"/>
    </row>
    <row r="271" spans="115:116" ht="15.75" customHeight="1">
      <c r="DK271" s="15"/>
      <c r="DL271" s="15"/>
    </row>
    <row r="272" spans="115:116" ht="15.75" customHeight="1">
      <c r="DK272" s="41"/>
      <c r="DL272" s="41"/>
    </row>
    <row r="273" spans="115:116" ht="15.75" customHeight="1">
      <c r="DK273" s="15"/>
      <c r="DL273" s="15"/>
    </row>
    <row r="274" spans="115:116" ht="15.75" customHeight="1">
      <c r="DK274" s="41"/>
      <c r="DL274" s="41"/>
    </row>
    <row r="275" spans="115:116" ht="15.75" customHeight="1">
      <c r="DK275" s="15"/>
      <c r="DL275" s="15"/>
    </row>
    <row r="276" spans="115:116" ht="15.75" customHeight="1">
      <c r="DK276" s="41"/>
      <c r="DL276" s="41"/>
    </row>
    <row r="277" spans="115:116" ht="15.75" customHeight="1">
      <c r="DK277" s="15"/>
      <c r="DL277" s="15"/>
    </row>
    <row r="278" spans="115:116" ht="15.75" customHeight="1">
      <c r="DK278" s="41"/>
      <c r="DL278" s="41"/>
    </row>
    <row r="279" spans="115:116" ht="15.75" customHeight="1">
      <c r="DK279" s="15"/>
      <c r="DL279" s="15"/>
    </row>
    <row r="280" spans="115:116" ht="15.75" customHeight="1">
      <c r="DK280" s="41"/>
      <c r="DL280" s="41"/>
    </row>
    <row r="281" spans="115:116" ht="15.75" customHeight="1">
      <c r="DK281" s="15"/>
      <c r="DL281" s="15"/>
    </row>
    <row r="282" spans="115:116" ht="15.75" customHeight="1">
      <c r="DK282" s="41"/>
      <c r="DL282" s="41"/>
    </row>
    <row r="283" spans="115:116" ht="15.75" customHeight="1">
      <c r="DK283" s="15"/>
      <c r="DL283" s="15"/>
    </row>
    <row r="284" spans="115:116" ht="15.75" customHeight="1">
      <c r="DK284" s="41"/>
      <c r="DL284" s="41"/>
    </row>
    <row r="285" spans="115:116" ht="15.75" customHeight="1">
      <c r="DK285" s="15"/>
      <c r="DL285" s="15"/>
    </row>
    <row r="286" spans="115:116" ht="15.75" customHeight="1">
      <c r="DK286" s="41"/>
      <c r="DL286" s="41"/>
    </row>
    <row r="287" spans="115:116" ht="15.75" customHeight="1">
      <c r="DK287" s="15"/>
      <c r="DL287" s="15"/>
    </row>
    <row r="288" spans="115:116" ht="15.75" customHeight="1">
      <c r="DK288" s="41"/>
      <c r="DL288" s="41"/>
    </row>
    <row r="289" spans="115:116" ht="15.75" customHeight="1">
      <c r="DK289" s="15"/>
      <c r="DL289" s="15"/>
    </row>
    <row r="290" spans="115:116" ht="15.75" customHeight="1">
      <c r="DK290" s="41"/>
      <c r="DL290" s="41"/>
    </row>
    <row r="291" spans="115:116" ht="15.75" customHeight="1">
      <c r="DK291" s="15"/>
      <c r="DL291" s="15"/>
    </row>
    <row r="292" spans="115:116" ht="15.75" customHeight="1">
      <c r="DK292" s="41"/>
      <c r="DL292" s="41"/>
    </row>
    <row r="293" spans="115:116" ht="15.75" customHeight="1">
      <c r="DK293" s="15"/>
      <c r="DL293" s="15"/>
    </row>
    <row r="294" spans="115:116" ht="15.75" customHeight="1">
      <c r="DK294" s="41"/>
      <c r="DL294" s="41"/>
    </row>
    <row r="295" spans="115:116" ht="15.75" customHeight="1">
      <c r="DK295" s="15"/>
      <c r="DL295" s="15"/>
    </row>
    <row r="296" spans="115:116" ht="15.75" customHeight="1"/>
    <row r="297" spans="115:116" ht="15.75" customHeight="1"/>
    <row r="298" spans="115:116" ht="15.75" customHeight="1"/>
    <row r="299" spans="115:116" ht="15.75" customHeight="1"/>
    <row r="300" spans="115:116" ht="15.75" customHeight="1"/>
    <row r="301" spans="115:116" ht="15.75" customHeight="1"/>
    <row r="302" spans="115:116" ht="15.75" customHeight="1"/>
    <row r="303" spans="115:116" ht="15.75" customHeight="1"/>
    <row r="304" spans="115:116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2:D2"/>
    <mergeCell ref="F2:G3"/>
    <mergeCell ref="BA2:BA3"/>
    <mergeCell ref="B14:D14"/>
  </mergeCells>
  <conditionalFormatting sqref="B56">
    <cfRule type="containsText" dxfId="28" priority="3" operator="containsText" text="Ruim">
      <formula>NOT(ISERROR(SEARCH(("Ruim"),(B56))))</formula>
    </cfRule>
    <cfRule type="containsText" dxfId="27" priority="4" operator="containsText" text="Bom">
      <formula>NOT(ISERROR(SEARCH(("Bom"),(B56))))</formula>
    </cfRule>
  </conditionalFormatting>
  <conditionalFormatting sqref="B61">
    <cfRule type="containsText" dxfId="26" priority="5" operator="containsText" text="Bom">
      <formula>NOT(ISERROR(SEARCH(("Bom"),(B61))))</formula>
    </cfRule>
    <cfRule type="containsText" dxfId="25" priority="6" operator="containsText" text="Ruim">
      <formula>NOT(ISERROR(SEARCH(("Ruim"),(B61))))</formula>
    </cfRule>
  </conditionalFormatting>
  <conditionalFormatting sqref="B14:D14">
    <cfRule type="expression" dxfId="24" priority="7">
      <formula>$B$56&lt;&gt;"Bom"</formula>
    </cfRule>
    <cfRule type="expression" dxfId="23" priority="8">
      <formula>$B$61&lt;&gt;"Bom"</formula>
    </cfRule>
  </conditionalFormatting>
  <conditionalFormatting sqref="B15:D18">
    <cfRule type="expression" dxfId="22" priority="9">
      <formula>$B$56&lt;&gt;"Bom"</formula>
    </cfRule>
    <cfRule type="expression" dxfId="21" priority="10">
      <formula>$B$61&lt;&gt;"Bom"</formula>
    </cfRule>
  </conditionalFormatting>
  <conditionalFormatting sqref="F4:F63">
    <cfRule type="expression" dxfId="20" priority="11">
      <formula>BA4=0</formula>
    </cfRule>
  </conditionalFormatting>
  <conditionalFormatting sqref="F53:F54">
    <cfRule type="expression" dxfId="19" priority="12">
      <formula>BA65=0</formula>
    </cfRule>
  </conditionalFormatting>
  <conditionalFormatting sqref="G4:G63">
    <cfRule type="cellIs" dxfId="18" priority="13" operator="equal">
      <formula>0</formula>
    </cfRule>
  </conditionalFormatting>
  <conditionalFormatting sqref="J4:J63">
    <cfRule type="cellIs" dxfId="17" priority="14" operator="equal">
      <formula>0</formula>
    </cfRule>
  </conditionalFormatting>
  <conditionalFormatting sqref="M4:M63">
    <cfRule type="cellIs" dxfId="16" priority="15" operator="equal">
      <formula>0</formula>
    </cfRule>
  </conditionalFormatting>
  <conditionalFormatting sqref="P4:P63">
    <cfRule type="cellIs" dxfId="15" priority="16" operator="equal">
      <formula>0</formula>
    </cfRule>
  </conditionalFormatting>
  <conditionalFormatting sqref="S4:S63">
    <cfRule type="cellIs" dxfId="14" priority="17" operator="equal">
      <formula>0</formula>
    </cfRule>
  </conditionalFormatting>
  <conditionalFormatting sqref="V4:V63">
    <cfRule type="cellIs" dxfId="13" priority="18" operator="equal">
      <formula>0</formula>
    </cfRule>
  </conditionalFormatting>
  <conditionalFormatting sqref="Y4:Y63">
    <cfRule type="cellIs" dxfId="12" priority="19" operator="equal">
      <formula>0</formula>
    </cfRule>
  </conditionalFormatting>
  <conditionalFormatting sqref="AB4:AB63">
    <cfRule type="cellIs" dxfId="11" priority="20" operator="equal">
      <formula>0</formula>
    </cfRule>
  </conditionalFormatting>
  <conditionalFormatting sqref="AE4:AE63">
    <cfRule type="cellIs" dxfId="10" priority="21" operator="equal">
      <formula>0</formula>
    </cfRule>
  </conditionalFormatting>
  <conditionalFormatting sqref="AH4:AH63">
    <cfRule type="cellIs" dxfId="9" priority="22" operator="equal">
      <formula>0</formula>
    </cfRule>
  </conditionalFormatting>
  <conditionalFormatting sqref="AK4:AK63">
    <cfRule type="cellIs" dxfId="8" priority="23" operator="equal">
      <formula>0</formula>
    </cfRule>
  </conditionalFormatting>
  <conditionalFormatting sqref="AN4:AN63">
    <cfRule type="cellIs" dxfId="7" priority="24" operator="equal">
      <formula>0</formula>
    </cfRule>
  </conditionalFormatting>
  <conditionalFormatting sqref="AQ4:AQ63">
    <cfRule type="cellIs" dxfId="6" priority="25" operator="equal">
      <formula>0</formula>
    </cfRule>
  </conditionalFormatting>
  <conditionalFormatting sqref="AT4:AT63">
    <cfRule type="cellIs" dxfId="5" priority="26" operator="equal">
      <formula>0</formula>
    </cfRule>
  </conditionalFormatting>
  <conditionalFormatting sqref="AW4:AW63">
    <cfRule type="cellIs" dxfId="4" priority="27" operator="equal">
      <formula>0</formula>
    </cfRule>
  </conditionalFormatting>
  <conditionalFormatting sqref="AZ4:BA63">
    <cfRule type="cellIs" dxfId="3" priority="28" operator="equal">
      <formula>0</formula>
    </cfRule>
  </conditionalFormatting>
  <conditionalFormatting sqref="BH3:BH208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I3:BI20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R88:BT88">
    <cfRule type="containsBlanks" dxfId="2" priority="32">
      <formula>LEN(TRIM(BP88))=0</formula>
    </cfRule>
  </conditionalFormatting>
  <conditionalFormatting sqref="BR3:CF239">
    <cfRule type="containsBlanks" dxfId="1" priority="1">
      <formula>LEN(TRIM(BP3))=0</formula>
    </cfRule>
  </conditionalFormatting>
  <conditionalFormatting sqref="CG3:CU239">
    <cfRule type="containsBlanks" dxfId="0" priority="2">
      <formula>LEN(TRIM(CE3))=0</formula>
    </cfRule>
  </conditionalFormatting>
  <dataValidations count="2">
    <dataValidation type="list" allowBlank="1" showErrorMessage="1" sqref="B14" xr:uid="{CE515EA7-C0B0-4D52-87E3-BD688999D830}">
      <formula1>$BM$3:$BM$239</formula1>
    </dataValidation>
    <dataValidation type="list" allowBlank="1" showErrorMessage="1" sqref="B2" xr:uid="{52B7DBC6-745F-4076-8808-EB2852D6ED14}">
      <formula1>$BC$3:$BC$115</formula1>
    </dataValidation>
  </dataValidations>
  <pageMargins left="0.511811024" right="0.511811024" top="0.78740157500000008" bottom="0.78740157500000008" header="0" footer="0"/>
  <pageSetup paperSize="9" orientation="portrait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21</vt:i4>
      </vt:variant>
    </vt:vector>
  </HeadingPairs>
  <TitlesOfParts>
    <vt:vector size="22" baseType="lpstr">
      <vt:lpstr>MPPT</vt:lpstr>
      <vt:lpstr>MPPT!solver_adj</vt:lpstr>
      <vt:lpstr>MPPT!solver_lhs1</vt:lpstr>
      <vt:lpstr>MPPT!solver_lhs10</vt:lpstr>
      <vt:lpstr>MPPT!solver_lhs11</vt:lpstr>
      <vt:lpstr>MPPT!solver_lhs12</vt:lpstr>
      <vt:lpstr>MPPT!solver_lhs13</vt:lpstr>
      <vt:lpstr>MPPT!solver_lhs14</vt:lpstr>
      <vt:lpstr>MPPT!solver_lhs15</vt:lpstr>
      <vt:lpstr>MPPT!solver_lhs16</vt:lpstr>
      <vt:lpstr>MPPT!solver_lhs17</vt:lpstr>
      <vt:lpstr>MPPT!solver_lhs2</vt:lpstr>
      <vt:lpstr>MPPT!solver_lhs3</vt:lpstr>
      <vt:lpstr>MPPT!solver_lhs4</vt:lpstr>
      <vt:lpstr>MPPT!solver_lhs5</vt:lpstr>
      <vt:lpstr>MPPT!solver_lhs6</vt:lpstr>
      <vt:lpstr>MPPT!solver_lhs7</vt:lpstr>
      <vt:lpstr>MPPT!solver_lhs8</vt:lpstr>
      <vt:lpstr>MPPT!solver_lhs9</vt:lpstr>
      <vt:lpstr>MPPT!solver_opt</vt:lpstr>
      <vt:lpstr>MPPT!solver_rhs10</vt:lpstr>
      <vt:lpstr>MPPT!solver_rhs3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Feitosa Farias</dc:creator>
  <cp:lastModifiedBy>Engenharia Sou Energy</cp:lastModifiedBy>
  <cp:revision>6</cp:revision>
  <dcterms:created xsi:type="dcterms:W3CDTF">2021-05-08T15:24:55Z</dcterms:created>
  <dcterms:modified xsi:type="dcterms:W3CDTF">2026-09-09T18:14:31Z</dcterms:modified>
</cp:coreProperties>
</file>