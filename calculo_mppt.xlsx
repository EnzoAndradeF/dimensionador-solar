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nzo.ferreira\Desktop\dimensionador-fotovoltaico-sigiloso\"/>
    </mc:Choice>
  </mc:AlternateContent>
  <xr:revisionPtr revIDLastSave="0" documentId="13_ncr:1_{98BCD306-FCBC-4483-9BA5-5490C348E3D6}" xr6:coauthVersionLast="47" xr6:coauthVersionMax="47" xr10:uidLastSave="{00000000-0000-0000-0000-000000000000}"/>
  <bookViews>
    <workbookView xWindow="20370" yWindow="-4695" windowWidth="29040" windowHeight="15840" xr2:uid="{00000000-000D-0000-FFFF-FFFF00000000}"/>
  </bookViews>
  <sheets>
    <sheet name="MPPT" sheetId="1" r:id="rId1"/>
  </sheets>
  <definedNames>
    <definedName name="OpenSolver_ChosenSolver" localSheetId="0">CBC</definedName>
    <definedName name="OpenSolver_DualsNewSheet" localSheetId="0">0</definedName>
    <definedName name="OpenSolver_LinearityCheck" localSheetId="0">1</definedName>
    <definedName name="OpenSolver_UpdateSensitivity" localSheetId="0">1</definedName>
    <definedName name="solver_adj" localSheetId="0">#REF!</definedName>
    <definedName name="solver_cvg" localSheetId="0">0.0001</definedName>
    <definedName name="solver_drv" localSheetId="0">1</definedName>
    <definedName name="solver_eng" localSheetId="0" hidden="1">2</definedName>
    <definedName name="solver_est" localSheetId="0" hidden="1">1</definedName>
    <definedName name="solver_itr" localSheetId="0" hidden="1">2147483647</definedName>
    <definedName name="solver_lhs1" localSheetId="0">#REF!</definedName>
    <definedName name="solver_lhs10" localSheetId="0">#REF!</definedName>
    <definedName name="solver_lhs11" localSheetId="0">#REF!</definedName>
    <definedName name="solver_lhs12" localSheetId="0">#REF!</definedName>
    <definedName name="solver_lhs13" localSheetId="0">#REF!</definedName>
    <definedName name="solver_lhs14" localSheetId="0">#REF!</definedName>
    <definedName name="solver_lhs15" localSheetId="0">#REF!</definedName>
    <definedName name="solver_lhs16" localSheetId="0">#REF!</definedName>
    <definedName name="solver_lhs17" localSheetId="0">#REF!</definedName>
    <definedName name="solver_lhs2" localSheetId="0">#REF!</definedName>
    <definedName name="solver_lhs3" localSheetId="0">#REF!</definedName>
    <definedName name="solver_lhs4" localSheetId="0">#REF!</definedName>
    <definedName name="solver_lhs5" localSheetId="0">#REF!</definedName>
    <definedName name="solver_lhs6" localSheetId="0">#REF!</definedName>
    <definedName name="solver_lhs7" localSheetId="0">#REF!</definedName>
    <definedName name="solver_lhs8" localSheetId="0">#REF!</definedName>
    <definedName name="solver_lhs9" localSheetId="0">#REF!</definedName>
    <definedName name="solver_mip" localSheetId="0">2147483647</definedName>
    <definedName name="solver_mni" localSheetId="0">30</definedName>
    <definedName name="solver_mrt" localSheetId="0">0.075</definedName>
    <definedName name="solver_msl" localSheetId="0">2</definedName>
    <definedName name="solver_neg" localSheetId="0" hidden="1">1</definedName>
    <definedName name="solver_nod" localSheetId="0">2147483647</definedName>
    <definedName name="solver_num" localSheetId="0">17</definedName>
    <definedName name="solver_nwt" localSheetId="0" hidden="1">1</definedName>
    <definedName name="solver_opt" localSheetId="0">#REF!</definedName>
    <definedName name="solver_pre" localSheetId="0" hidden="1">1</definedName>
    <definedName name="solver_rbv" localSheetId="0">1</definedName>
    <definedName name="solver_rel1" localSheetId="0">5</definedName>
    <definedName name="solver_rel10" localSheetId="0">1</definedName>
    <definedName name="solver_rel11" localSheetId="0">5</definedName>
    <definedName name="solver_rel12" localSheetId="0">5</definedName>
    <definedName name="solver_rel13" localSheetId="0">5</definedName>
    <definedName name="solver_rel14" localSheetId="0">5</definedName>
    <definedName name="solver_rel15" localSheetId="0">5</definedName>
    <definedName name="solver_rel16" localSheetId="0">5</definedName>
    <definedName name="solver_rel17" localSheetId="0">5</definedName>
    <definedName name="solver_rel2" localSheetId="0">5</definedName>
    <definedName name="solver_rel3" localSheetId="0">1</definedName>
    <definedName name="solver_rel4" localSheetId="0">5</definedName>
    <definedName name="solver_rel5" localSheetId="0">5</definedName>
    <definedName name="solver_rel6" localSheetId="0">5</definedName>
    <definedName name="solver_rel7" localSheetId="0">5</definedName>
    <definedName name="solver_rel8" localSheetId="0">5</definedName>
    <definedName name="solver_rel9" localSheetId="0">5</definedName>
    <definedName name="solver_rhs1" localSheetId="0">binary</definedName>
    <definedName name="solver_rhs10" localSheetId="0">#REF!</definedName>
    <definedName name="solver_rhs11" localSheetId="0">binary</definedName>
    <definedName name="solver_rhs12" localSheetId="0">binary</definedName>
    <definedName name="solver_rhs13" localSheetId="0">binary</definedName>
    <definedName name="solver_rhs14" localSheetId="0">binary</definedName>
    <definedName name="solver_rhs15" localSheetId="0">binary</definedName>
    <definedName name="solver_rhs16" localSheetId="0">binary</definedName>
    <definedName name="solver_rhs17" localSheetId="0">binary</definedName>
    <definedName name="solver_rhs2" localSheetId="0">binary</definedName>
    <definedName name="solver_rhs3" localSheetId="0">#REF!</definedName>
    <definedName name="solver_rhs4" localSheetId="0">binary</definedName>
    <definedName name="solver_rhs5" localSheetId="0">binary</definedName>
    <definedName name="solver_rhs6" localSheetId="0">binary</definedName>
    <definedName name="solver_rhs7" localSheetId="0">binary</definedName>
    <definedName name="solver_rhs8" localSheetId="0">binary</definedName>
    <definedName name="solver_rhs9" localSheetId="0">binary</definedName>
    <definedName name="solver_rlx" localSheetId="0">2</definedName>
    <definedName name="solver_rsd" localSheetId="0">0</definedName>
    <definedName name="solver_scl" localSheetId="0" hidden="1">2</definedName>
    <definedName name="solver_sho" localSheetId="0">2</definedName>
    <definedName name="solver_ssz" localSheetId="0">100</definedName>
    <definedName name="solver_tim" localSheetId="0" hidden="1">2147483647</definedName>
    <definedName name="solver_tol" localSheetId="0">0.01</definedName>
    <definedName name="solver_typ" localSheetId="0" hidden="1">1</definedName>
    <definedName name="solver_val" localSheetId="0" hidden="1">0</definedName>
    <definedName name="solver_ver" localSheetId="0" hidden="1">3</definedName>
  </definedNames>
  <calcPr calcId="191029"/>
</workbook>
</file>

<file path=xl/calcChain.xml><?xml version="1.0" encoding="utf-8"?>
<calcChain xmlns="http://schemas.openxmlformats.org/spreadsheetml/2006/main">
  <c r="N228" i="1" l="1"/>
  <c r="N227" i="1"/>
  <c r="N226" i="1"/>
  <c r="N225" i="1"/>
  <c r="N223" i="1"/>
  <c r="N220" i="1"/>
  <c r="N219" i="1"/>
  <c r="N216" i="1"/>
  <c r="N215" i="1"/>
  <c r="N214" i="1"/>
  <c r="N213" i="1"/>
  <c r="N211" i="1"/>
  <c r="N208" i="1"/>
  <c r="N207" i="1"/>
  <c r="N206" i="1"/>
  <c r="N204" i="1"/>
  <c r="N202" i="1"/>
  <c r="N201" i="1"/>
  <c r="N200" i="1"/>
  <c r="N198" i="1"/>
  <c r="N196" i="1"/>
  <c r="N193" i="1"/>
  <c r="N192" i="1"/>
  <c r="O191" i="1"/>
  <c r="N191" i="1"/>
  <c r="N190" i="1"/>
  <c r="N189" i="1"/>
  <c r="N188" i="1"/>
  <c r="N187" i="1"/>
  <c r="N186" i="1"/>
  <c r="N185" i="1"/>
  <c r="N184" i="1"/>
  <c r="N183" i="1"/>
  <c r="N182" i="1"/>
  <c r="N180" i="1"/>
  <c r="N179" i="1"/>
  <c r="N178" i="1"/>
  <c r="N176" i="1"/>
  <c r="N175" i="1"/>
  <c r="N174" i="1"/>
  <c r="N173" i="1"/>
  <c r="N172" i="1"/>
  <c r="N158" i="1"/>
  <c r="N157" i="1"/>
  <c r="N156" i="1"/>
  <c r="N155" i="1"/>
  <c r="N153" i="1"/>
  <c r="N145" i="1"/>
  <c r="N109" i="1"/>
  <c r="N104" i="1"/>
  <c r="N97" i="1"/>
  <c r="N94" i="1"/>
  <c r="N87" i="1"/>
  <c r="N86" i="1"/>
  <c r="N85" i="1"/>
  <c r="N84" i="1"/>
  <c r="N82" i="1"/>
  <c r="N81" i="1"/>
  <c r="N80" i="1"/>
  <c r="N78" i="1"/>
  <c r="N77" i="1"/>
  <c r="N75" i="1"/>
  <c r="N74" i="1"/>
  <c r="N73" i="1"/>
  <c r="N72" i="1"/>
  <c r="N70" i="1"/>
  <c r="N69" i="1"/>
  <c r="N68" i="1"/>
  <c r="N67" i="1"/>
  <c r="N66" i="1"/>
  <c r="N65" i="1"/>
  <c r="N63" i="1"/>
  <c r="N62" i="1"/>
  <c r="N60" i="1"/>
  <c r="N59" i="1"/>
  <c r="N58" i="1"/>
  <c r="N57" i="1"/>
  <c r="T39" i="1"/>
  <c r="T33" i="1"/>
  <c r="U33" i="1" s="1"/>
  <c r="V33" i="1" s="1"/>
  <c r="T31" i="1"/>
  <c r="U31" i="1" s="1"/>
  <c r="T30" i="1"/>
  <c r="U30" i="1" s="1"/>
  <c r="V30" i="1" s="1"/>
  <c r="N15" i="1"/>
  <c r="N14" i="1"/>
  <c r="N13" i="1"/>
  <c r="N12" i="1"/>
  <c r="N11" i="1"/>
  <c r="N10" i="1"/>
  <c r="N9" i="1"/>
  <c r="N8" i="1"/>
  <c r="N7" i="1"/>
  <c r="N6" i="1"/>
  <c r="N3" i="1"/>
</calcChain>
</file>

<file path=xl/sharedStrings.xml><?xml version="1.0" encoding="utf-8"?>
<sst xmlns="http://schemas.openxmlformats.org/spreadsheetml/2006/main" count="487" uniqueCount="398">
  <si>
    <t>Módulo</t>
  </si>
  <si>
    <t>Pot</t>
  </si>
  <si>
    <t>Voc</t>
  </si>
  <si>
    <t>Vmp</t>
  </si>
  <si>
    <t>%</t>
  </si>
  <si>
    <t>Imp</t>
  </si>
  <si>
    <t>Icc</t>
  </si>
  <si>
    <t>sku_p</t>
  </si>
  <si>
    <t>disponivel_p</t>
  </si>
  <si>
    <t>Inversor</t>
  </si>
  <si>
    <t>Pnom</t>
  </si>
  <si>
    <t>Pmax</t>
  </si>
  <si>
    <t>Vmax</t>
  </si>
  <si>
    <t>Vmin</t>
  </si>
  <si>
    <t>sku_i</t>
  </si>
  <si>
    <t>disponivel_i</t>
  </si>
  <si>
    <t>Icc 1</t>
  </si>
  <si>
    <t>Icc 2</t>
  </si>
  <si>
    <t>Icc 3</t>
  </si>
  <si>
    <t>Icc 4</t>
  </si>
  <si>
    <t>Icc 5</t>
  </si>
  <si>
    <t>Icc 6</t>
  </si>
  <si>
    <t>Icc 7</t>
  </si>
  <si>
    <t>Icc 8</t>
  </si>
  <si>
    <t>Icc 9</t>
  </si>
  <si>
    <t>Icc 10</t>
  </si>
  <si>
    <t>Icc 11</t>
  </si>
  <si>
    <t>Icc 12</t>
  </si>
  <si>
    <t>Icc 13</t>
  </si>
  <si>
    <t>Icc 14</t>
  </si>
  <si>
    <t>Icc 15</t>
  </si>
  <si>
    <t>Imp 1</t>
  </si>
  <si>
    <t>Imp 2</t>
  </si>
  <si>
    <t>Imp 3</t>
  </si>
  <si>
    <t>Imp 4</t>
  </si>
  <si>
    <t>Imp 5</t>
  </si>
  <si>
    <t>Imp 6</t>
  </si>
  <si>
    <t>Imp 7</t>
  </si>
  <si>
    <t>Imp 8</t>
  </si>
  <si>
    <t>Imp 9</t>
  </si>
  <si>
    <t>Imp 10</t>
  </si>
  <si>
    <t>Imp 11</t>
  </si>
  <si>
    <t>Imp 12</t>
  </si>
  <si>
    <t>Imp 13</t>
  </si>
  <si>
    <t>Imp 14</t>
  </si>
  <si>
    <t>Imp 15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</si>
  <si>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</si>
  <si>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</si>
  <si>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</si>
  <si>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</si>
  <si>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</si>
  <si>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</si>
  <si>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</si>
  <si>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</si>
  <si>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</si>
  <si>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</si>
  <si>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</si>
  <si>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</si>
  <si>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</si>
  <si>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</si>
  <si>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</si>
  <si>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 xml:space="preserve">  Maxeon 530W BIFACIAL - SPR-P6-530-UPP (P-Type)</t>
  </si>
  <si>
    <t>Auxsol ASG-6SL-ZL</t>
  </si>
  <si>
    <t>SIM</t>
  </si>
  <si>
    <t xml:space="preserve">  Maxeon 535W BIFACIAL - SPR-P6-535-UPP (P-Type)</t>
  </si>
  <si>
    <t>Auxsol ASN-10.5SL-G2</t>
  </si>
  <si>
    <t xml:space="preserve"> DAH 710W BF TC FG 33 (DHN-66Y18/DG)</t>
  </si>
  <si>
    <t>Auxsol ASN-10SL</t>
  </si>
  <si>
    <t>Auxsol ASN-15TL-G2 100%</t>
  </si>
  <si>
    <t xml:space="preserve"> GOKIN 615W BIFACIAL N-TYPE (GK-4-66HTBD-615M-F 30MM)</t>
  </si>
  <si>
    <t>Auxsol ASN-15TL-G2 50%</t>
  </si>
  <si>
    <t xml:space="preserve"> RENEPV 620 BF TC FG 30 (ZY-G12RNHB-132)</t>
  </si>
  <si>
    <t>Auxsol ASN-15TL-LV</t>
  </si>
  <si>
    <t xml:space="preserve"> RENEPV 620W - ZYG12RNHB132   </t>
  </si>
  <si>
    <t>Auxsol ASN-20TL 100%</t>
  </si>
  <si>
    <t xml:space="preserve"> Ronma 610W - RM-600-630W-182R132TB</t>
  </si>
  <si>
    <t>Auxsol ASN-20TL 50%</t>
  </si>
  <si>
    <t xml:space="preserve"> SolarSpace 590W - SS8-72HD -590N (N-Type Bifacial)</t>
  </si>
  <si>
    <t>Auxsol ASN-25TL 100%</t>
  </si>
  <si>
    <t>TCL 615W N-type Bifacial HSM-ND66-GR615 30mm</t>
  </si>
  <si>
    <t>Auxsol ASN-25TL 50%</t>
  </si>
  <si>
    <t>TRINA 620W BIFACIAL N-TYPE  (TSM-NEG19RC.20  30MM)</t>
  </si>
  <si>
    <t>Auxsol ASN-25TL-LV</t>
  </si>
  <si>
    <t>TRINA 625W BIFACIALN-TYPE (TSM-NEG19RC.20  30MM)</t>
  </si>
  <si>
    <t>Auxsol ASN-30TL-G2 100%</t>
  </si>
  <si>
    <t>Akcome 550 Mono - CHASER-M10/144P</t>
  </si>
  <si>
    <t>Auxsol ASN-30TL-G2 50%</t>
  </si>
  <si>
    <t>Canadian 370 poli - CS3U-370P</t>
  </si>
  <si>
    <t>Auxsol ASN-3SL</t>
  </si>
  <si>
    <t>Canadian 400 Poli - CS3W-P</t>
  </si>
  <si>
    <t>Auxsol ASN-40TL</t>
  </si>
  <si>
    <t>Canadian 405 Poli - CS3W-P</t>
  </si>
  <si>
    <t>Auxsol ASN-4SL-G2</t>
  </si>
  <si>
    <t>Canadian 420 Poli - CS3W-P</t>
  </si>
  <si>
    <t>Auxsol ASN-5SL-G2</t>
  </si>
  <si>
    <t>Canadian 435 Mono - CS3S-MS</t>
  </si>
  <si>
    <t>Auxsol ASN-6SL-G2</t>
  </si>
  <si>
    <t>Canadian 440 Mono - CS3S-MS</t>
  </si>
  <si>
    <t>Auxsol ASN-7.5SL</t>
  </si>
  <si>
    <t>Canadian 445 Mono - CS3S-MS</t>
  </si>
  <si>
    <t>Auxsol ASN-75TL-G2</t>
  </si>
  <si>
    <t>Canadian 450 Mono - CS3W-MS</t>
  </si>
  <si>
    <t>Auxsol ASN-75TL-LV-PLUS</t>
  </si>
  <si>
    <t>Canadian 455 Mono - CS3W-MS</t>
  </si>
  <si>
    <t>Canadian CSI-100K-TG400GL02-E</t>
  </si>
  <si>
    <t>Canadian 535 Mono - CS6W-MS</t>
  </si>
  <si>
    <t>Canadian CSI-110K-TG400GL02-E</t>
  </si>
  <si>
    <t>Consort 550W Bifacial - CST-M1072GDF</t>
  </si>
  <si>
    <t>Canadian CSI-15K-T400GL01-E*</t>
  </si>
  <si>
    <t>CS6W-550MS</t>
  </si>
  <si>
    <t>Canadian CSI-20K-T400GL01-E</t>
  </si>
  <si>
    <t>DAH 550 Mono - DHM-72X10</t>
  </si>
  <si>
    <t>Canadian CSI-20KTL-GI-LFL (220)</t>
  </si>
  <si>
    <t>DAH 610 Bifacial - DHN-66Z16</t>
  </si>
  <si>
    <t>Canadian CSI-250K-T800 1A-E</t>
  </si>
  <si>
    <t>DAH 700 Bifacial -  DHJ-66Y18DG</t>
  </si>
  <si>
    <t>Canadian CSI-25K-T220GL03-E</t>
  </si>
  <si>
    <t xml:space="preserve">DAH 700W BIFACIAL HJT DHJ-66Y24/DG </t>
  </si>
  <si>
    <t>Canadian CSI-25K-TG400GL02-E</t>
  </si>
  <si>
    <t>DAH Mono 440 - DHM-72L9</t>
  </si>
  <si>
    <t>Canadian CSI-25KTL-GI-L* (220)</t>
  </si>
  <si>
    <t>DAH Mono 540 - DHM-72X10</t>
  </si>
  <si>
    <t>Canadian CSI-30K-T220GL03-E</t>
  </si>
  <si>
    <t>DAH Mono 545 - DHM-72X10</t>
  </si>
  <si>
    <t>Canadian CSI-30K-TG400GL02-E</t>
  </si>
  <si>
    <t>DAH Mono 555 - DHM-72X10</t>
  </si>
  <si>
    <t>Canadian CSI-30KTL-GI-L (220)</t>
  </si>
  <si>
    <t>DAH Mono Bifacial 450W DHM-72L9/BF</t>
  </si>
  <si>
    <t>Canadian CSI-3K-S22002-ED</t>
  </si>
  <si>
    <t>DAH Poli 360 - HCP72X9</t>
  </si>
  <si>
    <t>Canadian CSI-50KTL-GI</t>
  </si>
  <si>
    <t>DAH Poli 400 - HCP78X9</t>
  </si>
  <si>
    <t>Canadian CSI-5K-22002-ED</t>
  </si>
  <si>
    <t>DMEGC 560W - DM560M10-72HSWHBW (P-Type) Monofacial</t>
  </si>
  <si>
    <t>Canadian CSI-5K-S22002-E</t>
  </si>
  <si>
    <t>DMEGC 585W - DM585M10T-B72HSW (N-Type) Bifacial</t>
  </si>
  <si>
    <t>Canadian CSI-5KTL1P-FL*</t>
  </si>
  <si>
    <t>EGING PV 610W BIFACIAL N-TYPE TOPCON (EG-NT66-HRc/BF-DG 30MM)</t>
  </si>
  <si>
    <t>Canadian CSI-60KTL-GI*</t>
  </si>
  <si>
    <t>ERA 590W Pro-72HD(CF)</t>
  </si>
  <si>
    <t>Canadian CSI-75K-T400GL02-E</t>
  </si>
  <si>
    <t>GCL Mono 375W</t>
  </si>
  <si>
    <t>Canadian CSI-7K-S22002-E</t>
  </si>
  <si>
    <t>GCL Mono 400W</t>
  </si>
  <si>
    <t>Canadian CSI-7K-S22002-ED*</t>
  </si>
  <si>
    <t>GK-2-66HJBD-700M</t>
  </si>
  <si>
    <t>Canadian CSI-8KTL1P-GI-FL*</t>
  </si>
  <si>
    <t>Gokin 570 - GK-1-72HT 570 (N-type)</t>
  </si>
  <si>
    <t>Canadian CSI-9K-S22002-E</t>
  </si>
  <si>
    <t>Gokin 585W - GK-1-72HTBD (N-type)</t>
  </si>
  <si>
    <t>GE 3.6</t>
  </si>
  <si>
    <t>HAITAI 590W - HTM5900DMH5-72</t>
  </si>
  <si>
    <t>GE 5.0</t>
  </si>
  <si>
    <t>Hanersun 585W - HN18N-72H585W</t>
  </si>
  <si>
    <t>GE 7.0</t>
  </si>
  <si>
    <t>Hanersun 610W - HN21RN-66HT610W (N-Type) Bifacial</t>
  </si>
  <si>
    <t>GE 9.0</t>
  </si>
  <si>
    <t>Hanersun 670W - HN21-66HT670W (Bifacial)</t>
  </si>
  <si>
    <t>Growatt 8000MTL-S</t>
  </si>
  <si>
    <t>Hanersun 690W - HN21N-66HT (N-Type) Bifacial</t>
  </si>
  <si>
    <t>Growatt MID 17KTL3-X</t>
  </si>
  <si>
    <t>Hanersun 700 Bifacial -  HN21H-66HT</t>
  </si>
  <si>
    <t>Growatt MID 25</t>
  </si>
  <si>
    <t>Hanersun 700W - HN21N-66HT700W</t>
  </si>
  <si>
    <t>Growatt MIN 4200TL-X</t>
  </si>
  <si>
    <t>HYSOLAR 600W BIFACIAL N-TYPE (HY-NT10/72GDF 30MM)</t>
  </si>
  <si>
    <t>Hoymiles HIS-6L-G3</t>
  </si>
  <si>
    <t>HYSOLAR 610W - HY-NT11/66GDF</t>
  </si>
  <si>
    <t>Hoymiles HYS-7.5LV-USG1</t>
  </si>
  <si>
    <t>HYSOLAR 615 BF TC AL 30 (HY-NT11/66GDF)</t>
  </si>
  <si>
    <t>Huawei SUN2000-100KTL-M2</t>
  </si>
  <si>
    <t>JETION 700W BIFACIAL HJT (JT710SLkB 35MM)</t>
  </si>
  <si>
    <r>
      <rPr>
        <sz val="11"/>
        <color theme="1"/>
        <rFont val="Calibri"/>
      </rPr>
      <t xml:space="preserve">Huawei SUN2000-100KTL-M2 </t>
    </r>
    <r>
      <rPr>
        <b/>
        <sz val="11"/>
        <color theme="1"/>
        <rFont val="Calibri"/>
      </rPr>
      <t>50%</t>
    </r>
  </si>
  <si>
    <t>Jinko - JMPV- X1/72-560</t>
  </si>
  <si>
    <t>Huawei SUN2000-10K-LCO</t>
  </si>
  <si>
    <t>Jinko 310 JKM310P</t>
  </si>
  <si>
    <r>
      <rPr>
        <sz val="11"/>
        <color theme="1"/>
        <rFont val="Calibri"/>
      </rPr>
      <t xml:space="preserve">Huawei SUN2000-10K-LCO </t>
    </r>
    <r>
      <rPr>
        <b/>
        <sz val="11"/>
        <color theme="1"/>
        <rFont val="Calibri"/>
      </rPr>
      <t>50%</t>
    </r>
  </si>
  <si>
    <t xml:space="preserve">Leapton Bifacial 585W - LP182-M-72-NB </t>
  </si>
  <si>
    <t>Huawei SUN2000-12K-MB0</t>
  </si>
  <si>
    <t>Leapton Mono 460</t>
  </si>
  <si>
    <t>Huawei SUN2000-15KTL-M5</t>
  </si>
  <si>
    <t>Leapton Mono 550 - LP182*182-M</t>
  </si>
  <si>
    <r>
      <rPr>
        <sz val="11"/>
        <color theme="1"/>
        <rFont val="Calibri"/>
      </rPr>
      <t xml:space="preserve">Huawei SUN2000-15KTL-M5 </t>
    </r>
    <r>
      <rPr>
        <b/>
        <sz val="11"/>
        <color theme="1"/>
        <rFont val="Calibri"/>
      </rPr>
      <t>50%</t>
    </r>
  </si>
  <si>
    <t>Leapton Mono 560 - LP182.182-M-72-MH (P-Type)</t>
  </si>
  <si>
    <t>Huawei SUN2000-20KTL-BRM3</t>
  </si>
  <si>
    <t>Leapton Mono 560 - LP182.199-M-66-NH (N-Type)</t>
  </si>
  <si>
    <t>Huawei SUN2000-20KTL-M5</t>
  </si>
  <si>
    <t xml:space="preserve">Leapton Mono 580W - LP182-M-72-NB </t>
  </si>
  <si>
    <r>
      <rPr>
        <sz val="11"/>
        <color theme="1"/>
        <rFont val="Calibri"/>
      </rPr>
      <t xml:space="preserve">Huawei SUN2000-20KTL-M5 </t>
    </r>
    <r>
      <rPr>
        <b/>
        <sz val="11"/>
        <color theme="1"/>
        <rFont val="Calibri"/>
      </rPr>
      <t>50%</t>
    </r>
  </si>
  <si>
    <t>Leapton Mono 585 - LP182.199-M-66-NH (N-Type) Monofacial</t>
  </si>
  <si>
    <t>Huawei SUN2000-250KTL-H1</t>
  </si>
  <si>
    <t>Leapton Mono 590 - LP182.182-M-78-MH (P-Type)</t>
  </si>
  <si>
    <r>
      <rPr>
        <sz val="11"/>
        <color theme="1"/>
        <rFont val="Calibri"/>
      </rPr>
      <t xml:space="preserve">Huawei SUN2000-250KTL-H1 </t>
    </r>
    <r>
      <rPr>
        <b/>
        <sz val="11"/>
        <color theme="1"/>
        <rFont val="Calibri"/>
      </rPr>
      <t>50%</t>
    </r>
  </si>
  <si>
    <t>Leapton Mono 590 - LP182.199-M-66-NH (N-Type)</t>
  </si>
  <si>
    <t>Huawei SUN2000-25KTL-M5</t>
  </si>
  <si>
    <t>Leapton Mono 595 - LP182.182-M-72-NH (N-Type)</t>
  </si>
  <si>
    <r>
      <rPr>
        <sz val="11"/>
        <color theme="1"/>
        <rFont val="Calibri"/>
      </rPr>
      <t xml:space="preserve">Huawei SUN2000-25KTL-M5 </t>
    </r>
    <r>
      <rPr>
        <b/>
        <sz val="11"/>
        <color theme="1"/>
        <rFont val="Calibri"/>
      </rPr>
      <t>50%</t>
    </r>
  </si>
  <si>
    <t>Leapton Mono 610 - LP182.210-M-66-NB (N-Type) Bifacial</t>
  </si>
  <si>
    <t>Huawei SUN2000-30KTL-M3</t>
  </si>
  <si>
    <t>Leapton Mono 610 - LP182.210-M-66-NH (N-Type) Monofacial</t>
  </si>
  <si>
    <t>Huawei SUN2000-3KTL-L1</t>
  </si>
  <si>
    <t>Leapton Mono 650 - LP210*210-M-66-MH</t>
  </si>
  <si>
    <r>
      <rPr>
        <sz val="11"/>
        <color theme="1"/>
        <rFont val="Calibri"/>
      </rPr>
      <t xml:space="preserve">Huawei SUN2000-3KTL-L1 </t>
    </r>
    <r>
      <rPr>
        <b/>
        <sz val="11"/>
        <color theme="1"/>
        <rFont val="Calibri"/>
      </rPr>
      <t>50%</t>
    </r>
  </si>
  <si>
    <t>Leapton Mono 665 - LP210-M-66-MH</t>
  </si>
  <si>
    <t>Huawei SUN2000-4KTL-L1</t>
  </si>
  <si>
    <t>Leapton Mono 670 - LP210-M-66-MB 670W (P-Type) Bifacia</t>
  </si>
  <si>
    <t>Leapton Mono 700 - LP210-M-66-NB (N-Type) Bifacial</t>
  </si>
  <si>
    <t>Huawei SUN2000-50KTL-M3</t>
  </si>
  <si>
    <t>Leapton Panther 570 - LP182.199-M-66-NH (N-Type) Monofacial</t>
  </si>
  <si>
    <t>Huawei SUN2000-5KTL-L1</t>
  </si>
  <si>
    <t>Leapton Panther 585 - LP182.199-M-66-NH (N-Type) Monofacial</t>
  </si>
  <si>
    <r>
      <rPr>
        <sz val="11"/>
        <color theme="1"/>
        <rFont val="Calibri"/>
      </rPr>
      <t xml:space="preserve">Huawei SUN2000-5KTL-L1 </t>
    </r>
    <r>
      <rPr>
        <b/>
        <sz val="11"/>
        <color theme="1"/>
        <rFont val="Calibri"/>
      </rPr>
      <t>50%</t>
    </r>
  </si>
  <si>
    <t>Leapton Panther 620 - LP182.199-M-72-NB (N-Type) Bifacial</t>
  </si>
  <si>
    <t>Huawei SUN2000-60KTL-M0 100%</t>
  </si>
  <si>
    <t>Leapton Panther 620 - LP182.210-M-66-NB (N-Type) Bifacial (Novo)</t>
  </si>
  <si>
    <t>Huawei SUN2000-6KTL-L1</t>
  </si>
  <si>
    <t>Leapton Panther 620 - LP182.210-M-66-NH</t>
  </si>
  <si>
    <r>
      <rPr>
        <sz val="11"/>
        <color theme="1"/>
        <rFont val="Calibri"/>
      </rPr>
      <t xml:space="preserve">Huawei SUN2000-6KTL-L1 </t>
    </r>
    <r>
      <rPr>
        <b/>
        <sz val="11"/>
        <color theme="1"/>
        <rFont val="Calibri"/>
      </rPr>
      <t>50%</t>
    </r>
  </si>
  <si>
    <t>Leapton Panther 690 - LP210.210-M-66-NB (N-Type) Bifacial</t>
  </si>
  <si>
    <t>Huawei SUN2000-7.5K-LC0</t>
  </si>
  <si>
    <t>Longi LR4-72HBD 445M</t>
  </si>
  <si>
    <t>Huawei SUN2000-75K-MGL0-BR</t>
  </si>
  <si>
    <t>Longi LR4-72HBD 450M</t>
  </si>
  <si>
    <t>Huawei SUN2000-75KTL-M1</t>
  </si>
  <si>
    <t>Longi LR4-72HBD 455M</t>
  </si>
  <si>
    <r>
      <rPr>
        <sz val="11"/>
        <color theme="1"/>
        <rFont val="Calibri"/>
      </rPr>
      <t xml:space="preserve">Huawei SUN2000-75KTL-M1 </t>
    </r>
    <r>
      <rPr>
        <b/>
        <sz val="11"/>
        <color theme="1"/>
        <rFont val="Calibri"/>
      </rPr>
      <t>50%</t>
    </r>
  </si>
  <si>
    <t>Longi Mono 440 - LR4-72HPH</t>
  </si>
  <si>
    <t>Huawei SUN2000-8K-LCO</t>
  </si>
  <si>
    <t>Osda 555 - ODA555-36V-MH</t>
  </si>
  <si>
    <r>
      <rPr>
        <sz val="11"/>
        <color theme="1"/>
        <rFont val="Calibri"/>
      </rPr>
      <t xml:space="preserve">Huawei SUN2000-8K-LCO </t>
    </r>
    <r>
      <rPr>
        <b/>
        <sz val="11"/>
        <color theme="1"/>
        <rFont val="Calibri"/>
      </rPr>
      <t>50%</t>
    </r>
  </si>
  <si>
    <t>Osda 610 - ODA610-33VR-MH</t>
  </si>
  <si>
    <t>Hyxipower HYX-S3.6K-S</t>
  </si>
  <si>
    <t>Osda 610W - ODA610-36VR-MHD (N-Type) Bifacial</t>
  </si>
  <si>
    <t>Hyxipower HYX-S5K-S</t>
  </si>
  <si>
    <t>Osda ODA460-30V-MH</t>
  </si>
  <si>
    <t>Hyxipower HYX-S6K-S</t>
  </si>
  <si>
    <t>RENEPV 605W - ZYG12RNHB-132/F</t>
  </si>
  <si>
    <t>Hyxipower HYX-S7.3K-S</t>
  </si>
  <si>
    <t>Renepv 700 Mono - ZY-G12HN-66</t>
  </si>
  <si>
    <t>Leapton S1X-5K1P-Y</t>
  </si>
  <si>
    <t>Renesola 560W - RS560-560M-E3</t>
  </si>
  <si>
    <t>Leapton S1X-7.5K1P-Y</t>
  </si>
  <si>
    <t>Resun Mono 545 RS8I-M</t>
  </si>
  <si>
    <t>Livoltek GT1 2K2S1</t>
  </si>
  <si>
    <t>Risen 700 Bifacial -  RSM132-8-700-715BHDG</t>
  </si>
  <si>
    <t>Livoltek GT1-10K-D</t>
  </si>
  <si>
    <t>Ronma - 570 - RM-600W-182M.144TB (N-Type Bifacial)</t>
  </si>
  <si>
    <t>Livoltek GT1-10KT2</t>
  </si>
  <si>
    <t>Livoltek GT1-3K3S1</t>
  </si>
  <si>
    <t>Ronma - 585 - RM-585W-182M.144TB (N-Type Bifacial)</t>
  </si>
  <si>
    <t>Livoltek GT1-3K-S*</t>
  </si>
  <si>
    <t>Ronma 700W - RM‑700W‑210M/132HB (N-Type Bifacial)</t>
  </si>
  <si>
    <t>Livoltek GT1-3K-SS</t>
  </si>
  <si>
    <t>Runergy 550W - HY-DH144P8-550W (Bifacial)</t>
  </si>
  <si>
    <t>Livoltek GT1-5K-D*</t>
  </si>
  <si>
    <t>Runergy 550W - HY-WH144P8-550W (Monofacial)</t>
  </si>
  <si>
    <t>Livoltek GT1-5KD2</t>
  </si>
  <si>
    <t>Solargiga 560 Mono - JMPV-X1 72</t>
  </si>
  <si>
    <t>Livoltek GT1-5K-DS</t>
  </si>
  <si>
    <t>Sunova Mono 505 - SS-505-66MTF</t>
  </si>
  <si>
    <t>Livoltek GT1-6K-D*</t>
  </si>
  <si>
    <t>Ulica 450 Mono - UL-450M-144</t>
  </si>
  <si>
    <t>Livoltek GT1-6KD1</t>
  </si>
  <si>
    <t>Ulica 550 Mono - UL-550M-144HV</t>
  </si>
  <si>
    <t>Livoltek GT1-6KD2</t>
  </si>
  <si>
    <t>Ulica Mono 440 - UL-440M-144HV</t>
  </si>
  <si>
    <t>Livoltek GT1-6K-DS</t>
  </si>
  <si>
    <t>Ulica Mono 505 - UL-505M-132HV</t>
  </si>
  <si>
    <t>Livoltek GT1-7K5T2</t>
  </si>
  <si>
    <t>Vsun 545 Mono - 144MH</t>
  </si>
  <si>
    <t>Livoltek GT1-8K-D</t>
  </si>
  <si>
    <t xml:space="preserve"> TCL 640W - HSM-ND78-GF</t>
  </si>
  <si>
    <t>Livoltek GT1-8KT1</t>
  </si>
  <si>
    <t>Gokin 620W - GK-4-66HTBD-620M-F</t>
  </si>
  <si>
    <t>Livoltek GT1-8KT2</t>
  </si>
  <si>
    <t xml:space="preserve">  MAXEON 415 MF PE AL 40 - SPR-MAX3415-BLK-R</t>
  </si>
  <si>
    <t>Livoltek GT3-25-D*</t>
  </si>
  <si>
    <t>Livoltek GT3-30-D*</t>
  </si>
  <si>
    <t>Livoltek Off Grid GF1-3k48L1</t>
  </si>
  <si>
    <t>Livoltek Off Grid GF1-5K48S1</t>
  </si>
  <si>
    <t>Nansen ASN-30TL-LV-G2</t>
  </si>
  <si>
    <t>Nansen ASN-30TL-LV-G2 50%</t>
  </si>
  <si>
    <t>Nansen ASN-50TL-G2</t>
  </si>
  <si>
    <t>Nansen ASN-6SL-PLUS</t>
  </si>
  <si>
    <t>Nansen-15TL-LV</t>
  </si>
  <si>
    <t>Nansen-20TL</t>
  </si>
  <si>
    <t>Nansen-20TL-LV</t>
  </si>
  <si>
    <t>Nansen-25TL</t>
  </si>
  <si>
    <t>Nansen-25TL-LV</t>
  </si>
  <si>
    <t>Nansen-30TL</t>
  </si>
  <si>
    <t>Nansen-75TL-LV-PLUS</t>
  </si>
  <si>
    <t>R5-17K-T2</t>
  </si>
  <si>
    <t>SMA STP 25000</t>
  </si>
  <si>
    <t>SMA STP 50-40</t>
  </si>
  <si>
    <t>SMA STP110-60</t>
  </si>
  <si>
    <t>SMA Sunny Tripower X 25</t>
  </si>
  <si>
    <t>Solax - All in one 15K X3-IES-15K</t>
  </si>
  <si>
    <t>SolaX - Híbrido 15K X3-Hybrid-15.0-D</t>
  </si>
  <si>
    <t>SolaX - Híbrido 5K X1-HYB-5.0-LV</t>
  </si>
  <si>
    <t>SolaX - Híbrido 7,5K X1-Hybrid-7.5-D</t>
  </si>
  <si>
    <t>SolaX - X3-AELIO-60K</t>
  </si>
  <si>
    <t>SOLAX 10KW M220 HIBRIDO (X1-LITE-10K-LV)</t>
  </si>
  <si>
    <t>SOLAX 12KW T220 HIBRIDO (X3-NEO-12K-LV)</t>
  </si>
  <si>
    <t>SOLAX 15KW T220 HIBRIDO (X3-NEO-15K-LV)</t>
  </si>
  <si>
    <t>SOLAX 20KW T220 HIBRIDO (X3-NEO-20K-LV)</t>
  </si>
  <si>
    <t>SOLAX 6KW M220 HIBRIDO (X1-HYB-6.0-LV)</t>
  </si>
  <si>
    <t>Solis 110K 5G</t>
  </si>
  <si>
    <t>Solis 110K 5G-PRO</t>
  </si>
  <si>
    <t>Solis 125K-EHV-5G</t>
  </si>
  <si>
    <t>Solis 15K-4G</t>
  </si>
  <si>
    <t>Solis 1P7.7K-5G</t>
  </si>
  <si>
    <t>Solis 1P7K-5G</t>
  </si>
  <si>
    <t>Solis 25K 5G</t>
  </si>
  <si>
    <t>Solis 30K 5G</t>
  </si>
  <si>
    <t>Solis 50K</t>
  </si>
  <si>
    <t>Solis 60K-4G</t>
  </si>
  <si>
    <t>Solis 75K 5G</t>
  </si>
  <si>
    <t>Solis 75K 5G-PRO</t>
  </si>
  <si>
    <r>
      <rPr>
        <sz val="11"/>
        <color theme="1"/>
        <rFont val="Calibri"/>
      </rPr>
      <t xml:space="preserve">Solis 75K 5G-PRO </t>
    </r>
    <r>
      <rPr>
        <b/>
        <sz val="11"/>
        <color theme="1"/>
        <rFont val="Calibri"/>
      </rPr>
      <t>com 50%</t>
    </r>
  </si>
  <si>
    <t>Solis 8K 4G</t>
  </si>
  <si>
    <t>Solis S5-GC 37,5K</t>
  </si>
  <si>
    <r>
      <rPr>
        <sz val="11"/>
        <color theme="1"/>
        <rFont val="Calibri"/>
      </rPr>
      <t xml:space="preserve">Solis S5-GC 37,5K </t>
    </r>
    <r>
      <rPr>
        <b/>
        <sz val="11"/>
        <color theme="1"/>
        <rFont val="Calibri"/>
      </rPr>
      <t>com 50%</t>
    </r>
  </si>
  <si>
    <t>Solis S5-GC 60K</t>
  </si>
  <si>
    <r>
      <rPr>
        <sz val="11"/>
        <color theme="1"/>
        <rFont val="Calibri"/>
      </rPr>
      <t xml:space="preserve">Solis S5-GC 60K </t>
    </r>
    <r>
      <rPr>
        <b/>
        <sz val="11"/>
        <color theme="1"/>
        <rFont val="Calibri"/>
      </rPr>
      <t>com 50%</t>
    </r>
  </si>
  <si>
    <t>Solis S5-GC25K</t>
  </si>
  <si>
    <t>Solis S5-GC30K-LV</t>
  </si>
  <si>
    <t>Solis S5-GC50K</t>
  </si>
  <si>
    <t>Solis S5-GR3P-20K</t>
  </si>
  <si>
    <t>Solis S6-GC100K</t>
  </si>
  <si>
    <t>Solis S6-GC75K-LV</t>
  </si>
  <si>
    <t>Solis S6-GR1P5K</t>
  </si>
  <si>
    <t>Solis S6-GR1P5K-S</t>
  </si>
  <si>
    <t>Solis-1P5K-4G</t>
  </si>
  <si>
    <t>Solis-60K-LV-5G-PRO</t>
  </si>
  <si>
    <t>Solis-60K-LV-5G-PRO (C/ CONECTOR "Y")</t>
  </si>
  <si>
    <t>Solis-75K-LV-5G-PRO</t>
  </si>
  <si>
    <r>
      <rPr>
        <sz val="11"/>
        <color theme="1"/>
        <rFont val="Calibri"/>
      </rPr>
      <t xml:space="preserve">Solis-75K-LV-5G-PRO </t>
    </r>
    <r>
      <rPr>
        <b/>
        <sz val="11"/>
        <color theme="1"/>
        <rFont val="Calibri"/>
      </rPr>
      <t>(C/ CONECTOR "Y")</t>
    </r>
  </si>
  <si>
    <t>Solplanet  ASW 50K-UT-G3</t>
  </si>
  <si>
    <t>Solplanet ASW 10000-S</t>
  </si>
  <si>
    <t>Solplanet ASW 12K-LT-G2-Pro</t>
  </si>
  <si>
    <t>Solplanet ASW 15K-LT-G2 (PRO)</t>
  </si>
  <si>
    <t>Solplanet ASW 15K-UT-G3 (220)</t>
  </si>
  <si>
    <t>Solplanet ASW 17K-LT-G2 Pro</t>
  </si>
  <si>
    <t>Solplanet ASW 17K-LT-G2.5</t>
  </si>
  <si>
    <t>Solplanet ASW 20K-LT-G2 (PRO)</t>
  </si>
  <si>
    <t>Solplanet ASW 20K-UT-G3 (220)</t>
  </si>
  <si>
    <t>Solplanet ASW 250K-HT</t>
  </si>
  <si>
    <t>Solplanet ASW 25K-LT-G2 Pro</t>
  </si>
  <si>
    <t>Solplanet ASW 25K-UT-G3 (220)</t>
  </si>
  <si>
    <t>Solplanet ASW 30K LT-G3</t>
  </si>
  <si>
    <t>Solplanet ASW 30K-UT-G3 (220)</t>
  </si>
  <si>
    <t>Solplanet ASW 33K-LT-G3</t>
  </si>
  <si>
    <t>Solplanet ASW 36K-LT-G3</t>
  </si>
  <si>
    <t>Solplanet ASW 36K-UT-G3 (220)</t>
  </si>
  <si>
    <t>Solplanet ASW 37,5K-UT-G3 (220)</t>
  </si>
  <si>
    <t>Solplanet ASW 4000-S</t>
  </si>
  <si>
    <t>Solplanet ASW 40K LT-G3</t>
  </si>
  <si>
    <t>SolPlanet ASW 5000-S</t>
  </si>
  <si>
    <t>Solplanet ASW 50K LT-G2</t>
  </si>
  <si>
    <t>SolPlanet ASW 7300-S</t>
  </si>
  <si>
    <t>SolPlanet ASW 7500-S</t>
  </si>
  <si>
    <t>Solplanet ASW 8000-S</t>
  </si>
  <si>
    <t>SolPlanet ASW 9100-S</t>
  </si>
  <si>
    <t>Solplanet ASW110K-LT</t>
  </si>
  <si>
    <t>Solplanet ASW12KH-T2 (Híbrido)</t>
  </si>
  <si>
    <t>Solplanet ASW3000-S-G2</t>
  </si>
  <si>
    <t xml:space="preserve">Solplanet ASW37.5K-UT-G3 </t>
  </si>
  <si>
    <t>SolPlanet ASW4000-S-G2</t>
  </si>
  <si>
    <t>Solplanet ASW5000H-S2 (Híbrido)</t>
  </si>
  <si>
    <t>SolPlanet ASW5000-S-G2</t>
  </si>
  <si>
    <t>Solplanet ASW6000H-S2 (Híbrido)</t>
  </si>
  <si>
    <t>Solplanet ASW6000-S-G2</t>
  </si>
  <si>
    <t>Solplanet ASW60K-LT-G3</t>
  </si>
  <si>
    <t>Solplanet ASW75K-LT</t>
  </si>
  <si>
    <t>Solplanet ASW75K-UT-G3</t>
  </si>
  <si>
    <t>SRNE ASF4880U180-H</t>
  </si>
  <si>
    <t>Sungrow SG10RS-L2</t>
  </si>
  <si>
    <t>Sungrow SG110CX 100%</t>
  </si>
  <si>
    <t>Sungrow SG110CX-P2</t>
  </si>
  <si>
    <t>Sungrow SG12RT-P2</t>
  </si>
  <si>
    <t>Sungrow SG15RT-P2</t>
  </si>
  <si>
    <t>Sungrow SG20RT-P2</t>
  </si>
  <si>
    <t>Sungrow SG250HX 100%</t>
  </si>
  <si>
    <t>Sungrow SG25CX-AS</t>
  </si>
  <si>
    <t>Sungrow SG25CX-P2</t>
  </si>
  <si>
    <t>Sungrow SG30CX-P2</t>
  </si>
  <si>
    <t>Sungrow SG333HX 100%</t>
  </si>
  <si>
    <t>Sungrow SG350HX 100%</t>
  </si>
  <si>
    <t>Sungrow SG36CX-P2</t>
  </si>
  <si>
    <t>Sungrow SG40CX-P2</t>
  </si>
  <si>
    <t>Sungrow SG5.0RS-L2</t>
  </si>
  <si>
    <t>Sungrow SG50CX-P2-LV</t>
  </si>
  <si>
    <t>Sungrow SG6.0RS-L2</t>
  </si>
  <si>
    <t>Sungrow SG7.5RS-L2</t>
  </si>
  <si>
    <t>Sungrow SG75CX 100%</t>
  </si>
  <si>
    <t>Sungrow SG75CX-P2</t>
  </si>
  <si>
    <t xml:space="preserve"> ERA 710W Eagle Pro-66HD（CF） 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</si>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</sst>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1"/>
      <color theme="1"/>
      <name val="Calibri"/>
      <scheme val="minor"/>
    </font>
    <font>
      <sz val="11"/>
      <color indexed="65"/>
      <name val="Calibri"/>
    </font>
    <font>
      <sz val="11"/>
      <color theme="1"/>
      <name val="Calibri"/>
    </font>
    <font>
      <sz val="11"/>
      <color indexed="2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9CC2E5"/>
        <bgColor rgb="FF9CC2E5"/>
      </patternFill>
    </fill>
    <fill>
      <patternFill patternType="solid">
        <fgColor rgb="FFFFD965"/>
        <bgColor rgb="FFFFD965"/>
      </patternFill>
    </fill>
    <fill>
      <patternFill patternType="solid">
        <fgColor rgb="FFD9E2F3"/>
        <bgColor rgb="FFD9E2F3"/>
      </patternFill>
    </fill>
    <fill>
      <patternFill patternType="solid">
        <fgColor theme="0"/>
        <bgColor theme="0"/>
      </patternFill>
    </fill>
    <fill>
      <patternFill patternType="solid">
        <fgColor indexed="5"/>
        <bgColor indexed="5"/>
      </patternFill>
    </fill>
    <fill>
      <patternFill patternType="solid">
        <fgColor theme="7"/>
        <bgColor theme="7"/>
      </patternFill>
    </fill>
    <fill>
      <patternFill patternType="solid">
        <fgColor rgb="FF7030A0"/>
      </patternFill>
    </fill>
  </fills>
  <borders count="4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rgb="FF8EAADB"/>
      </top>
      <bottom style="thin">
        <color rgb="FF8EAAD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2" fillId="4" borderId="0" xfId="0" applyFont="1" applyFill="1"/>
    <xf numFmtId="0" fontId="0" fillId="0" borderId="1" xfId="0" applyBorder="1"/>
    <xf numFmtId="0" fontId="0" fillId="0" borderId="2" xfId="0" applyBorder="1"/>
    <xf numFmtId="0" fontId="2" fillId="5" borderId="0" xfId="0" applyFont="1" applyFill="1"/>
    <xf numFmtId="0" fontId="2" fillId="0" borderId="1" xfId="0" applyFont="1" applyBorder="1"/>
    <xf numFmtId="0" fontId="2" fillId="0" borderId="2" xfId="0" applyFont="1" applyBorder="1"/>
    <xf numFmtId="0" fontId="0" fillId="4" borderId="0" xfId="0" applyFill="1"/>
    <xf numFmtId="0" fontId="2" fillId="0" borderId="0" xfId="0" applyFont="1" applyAlignment="1">
      <alignment horizontal="right" vertical="center"/>
    </xf>
    <xf numFmtId="0" fontId="2" fillId="0" borderId="2" xfId="0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/>
    </xf>
    <xf numFmtId="0" fontId="2" fillId="0" borderId="0" xfId="0" quotePrefix="1" applyFont="1"/>
    <xf numFmtId="0" fontId="0" fillId="5" borderId="0" xfId="0" applyFill="1"/>
    <xf numFmtId="0" fontId="2" fillId="0" borderId="0" xfId="0" applyFont="1" applyAlignment="1">
      <alignment wrapText="1"/>
    </xf>
    <xf numFmtId="0" fontId="2" fillId="6" borderId="0" xfId="0" applyFont="1" applyFill="1" applyAlignment="1">
      <alignment horizontal="right" vertical="center"/>
    </xf>
    <xf numFmtId="0" fontId="2" fillId="6" borderId="2" xfId="0" applyFont="1" applyFill="1" applyBorder="1" applyAlignment="1">
      <alignment horizontal="right" vertical="center"/>
    </xf>
    <xf numFmtId="0" fontId="2" fillId="0" borderId="0" xfId="0" applyFont="1" applyAlignment="1">
      <alignment horizontal="right"/>
    </xf>
    <xf numFmtId="0" fontId="2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right" vertical="center"/>
    </xf>
    <xf numFmtId="0" fontId="3" fillId="0" borderId="0" xfId="0" applyFont="1"/>
    <xf numFmtId="2" fontId="2" fillId="0" borderId="0" xfId="0" applyNumberFormat="1" applyFont="1"/>
    <xf numFmtId="2" fontId="2" fillId="5" borderId="0" xfId="0" applyNumberFormat="1" applyFont="1" applyFill="1"/>
    <xf numFmtId="2" fontId="2" fillId="4" borderId="0" xfId="0" applyNumberFormat="1" applyFont="1" applyFill="1"/>
    <xf numFmtId="0" fontId="0" fillId="0" borderId="3" xfId="0" applyBorder="1"/>
    <xf numFmtId="0" fontId="0" fillId="8" borderId="0" xfId="0" applyFill="1"/>
    <xf numFmtId="3" fontId="2" fillId="0" borderId="0" xfId="0" applyNumberFormat="1" applyFont="1"/>
  </cellXfs>
  <cellStyles count="1">
    <cellStyle name="Normal" xfId="0" builtinId="0"/>
  </cellStyles>
  <dxfs count="9">
    <dxf>
      <fill>
        <patternFill patternType="solid">
          <fgColor rgb="FFA8D08D"/>
          <bgColor rgb="FFA8D08D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D9E2F3"/>
          <bgColor rgb="FFD9E2F3"/>
        </patternFill>
      </fill>
    </dxf>
  </dxfs>
  <tableStyles count="2" defaultTableStyle="TableStyleMedium2" defaultPivotStyle="PivotStyleLight16">
    <tableStyle name="MPPT-style" pivot="0" count="3" xr9:uid="{00000000-0011-0000-FFFF-FFFF00000000}">
      <tableStyleElement type="headerRow" dxfId="7"/>
      <tableStyleElement type="firstRowStripe" dxfId="8"/>
      <tableStyleElement type="secondRowStripe" dxfId="6"/>
    </tableStyle>
    <tableStyle name="MPPT-style 2" pivot="0" count="3" xr9:uid="{00000000-0011-0000-FFFF-FFFF01000000}">
      <tableStyleElement type="headerRow" dxfId="4"/>
      <tableStyleElement type="firstRowStripe" dxfId="5"/>
      <tableStyleElement type="secondRowStripe" dxfId="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0</xdr:row>
      <xdr:rowOff>76200</xdr:rowOff>
    </xdr:from>
    <xdr:ext cx="1724025" cy="276224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 rotWithShape="1">
        <a:blip xmlns:r="http://schemas.openxmlformats.org/officeDocument/2006/relationships" r:embed="rId1"/>
        <a:stretch/>
      </xdr:blipFill>
      <xdr:spPr bwMode="auto">
        <a:xfrm>
          <a:off x="0" y="0"/>
          <a:ext cx="0" cy="0"/>
        </a:xfrm>
        <a:prstGeom prst="rect">
          <a:avLst/>
        </a:prstGeom>
        <a:noFill/>
      </xdr:spPr>
    </xdr:pic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2:J208">
  <autoFilter ref="B2:J208" xr:uid="{00000000-0009-0000-0100-000001000000}"/>
  <sortState xmlns:xlrd2="http://schemas.microsoft.com/office/spreadsheetml/2017/richdata2" ref="B3:H115">
    <sortCondition ref="B2:B115"/>
  </sortState>
  <tableColumns count="9">
    <tableColumn id="1" xr3:uid="{00000000-0010-0000-0000-000001000000}" name="Módulo"/>
    <tableColumn id="2" xr3:uid="{00000000-0010-0000-0000-000002000000}" name="Pot"/>
    <tableColumn id="3" xr3:uid="{00000000-0010-0000-0000-000003000000}" name="Voc"/>
    <tableColumn id="4" xr3:uid="{00000000-0010-0000-0000-000004000000}" name="Vmp"/>
    <tableColumn id="5" xr3:uid="{00000000-0010-0000-0000-000005000000}" name="%"/>
    <tableColumn id="6" xr3:uid="{00000000-0010-0000-0000-000006000000}" name="Imp"/>
    <tableColumn id="7" xr3:uid="{00000000-0010-0000-0000-000007000000}" name="Icc"/>
    <tableColumn id="8" xr3:uid="{00000000-0010-0000-0000-000008000000}" name="sku_p"/>
    <tableColumn id="9" xr3:uid="{00000000-0010-0000-0000-000009000000}" name="disponivel_p"/>
  </tableColumns>
  <tableStyleInfo name="MPPT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L2:BK296">
  <autoFilter ref="L2:BK296" xr:uid="{00000000-0009-0000-0100-000002000000}"/>
  <sortState xmlns:xlrd2="http://schemas.microsoft.com/office/spreadsheetml/2017/richdata2" ref="L3:BK296">
    <sortCondition ref="L2:L296"/>
  </sortState>
  <tableColumns count="52">
    <tableColumn id="1" xr3:uid="{00000000-0010-0000-0100-000001000000}" name="Inversor"/>
    <tableColumn id="2" xr3:uid="{00000000-0010-0000-0100-000002000000}" name="Pnom"/>
    <tableColumn id="3" xr3:uid="{00000000-0010-0000-0100-000003000000}" name="Pmax"/>
    <tableColumn id="4" xr3:uid="{00000000-0010-0000-0100-000004000000}" name="Vmax"/>
    <tableColumn id="5" xr3:uid="{00000000-0010-0000-0100-000005000000}" name="Vmin"/>
    <tableColumn id="6" xr3:uid="{00000000-0010-0000-0100-000006000000}" name="sku_i"/>
    <tableColumn id="7" xr3:uid="{00000000-0010-0000-0100-000007000000}" name="disponivel_i"/>
    <tableColumn id="8" xr3:uid="{00000000-0010-0000-0100-000008000000}" name="Icc 1"/>
    <tableColumn id="9" xr3:uid="{00000000-0010-0000-0100-000009000000}" name="Icc 2"/>
    <tableColumn id="10" xr3:uid="{00000000-0010-0000-0100-00000A000000}" name="Icc 3"/>
    <tableColumn id="11" xr3:uid="{00000000-0010-0000-0100-00000B000000}" name="Icc 4"/>
    <tableColumn id="12" xr3:uid="{00000000-0010-0000-0100-00000C000000}" name="Icc 5"/>
    <tableColumn id="13" xr3:uid="{00000000-0010-0000-0100-00000D000000}" name="Icc 6"/>
    <tableColumn id="14" xr3:uid="{00000000-0010-0000-0100-00000E000000}" name="Icc 7"/>
    <tableColumn id="15" xr3:uid="{00000000-0010-0000-0100-00000F000000}" name="Icc 8"/>
    <tableColumn id="16" xr3:uid="{00000000-0010-0000-0100-000010000000}" name="Icc 9"/>
    <tableColumn id="17" xr3:uid="{00000000-0010-0000-0100-000011000000}" name="Icc 10"/>
    <tableColumn id="18" xr3:uid="{00000000-0010-0000-0100-000012000000}" name="Icc 11"/>
    <tableColumn id="19" xr3:uid="{00000000-0010-0000-0100-000013000000}" name="Icc 12"/>
    <tableColumn id="20" xr3:uid="{00000000-0010-0000-0100-000014000000}" name="Icc 13"/>
    <tableColumn id="21" xr3:uid="{00000000-0010-0000-0100-000015000000}" name="Icc 14"/>
    <tableColumn id="22" xr3:uid="{00000000-0010-0000-0100-000016000000}" name="Icc 15"/>
    <tableColumn id="23" xr3:uid="{00000000-0010-0000-0100-000017000000}" name="Imp 1"/>
    <tableColumn id="24" xr3:uid="{00000000-0010-0000-0100-000018000000}" name="Imp 2"/>
    <tableColumn id="25" xr3:uid="{00000000-0010-0000-0100-000019000000}" name="Imp 3"/>
    <tableColumn id="26" xr3:uid="{00000000-0010-0000-0100-00001A000000}" name="Imp 4"/>
    <tableColumn id="27" xr3:uid="{00000000-0010-0000-0100-00001B000000}" name="Imp 5"/>
    <tableColumn id="28" xr3:uid="{00000000-0010-0000-0100-00001C000000}" name="Imp 6"/>
    <tableColumn id="29" xr3:uid="{00000000-0010-0000-0100-00001D000000}" name="Imp 7"/>
    <tableColumn id="30" xr3:uid="{00000000-0010-0000-0100-00001E000000}" name="Imp 8"/>
    <tableColumn id="31" xr3:uid="{00000000-0010-0000-0100-00001F000000}" name="Imp 9"/>
    <tableColumn id="32" xr3:uid="{00000000-0010-0000-0100-000020000000}" name="Imp 10"/>
    <tableColumn id="33" xr3:uid="{00000000-0010-0000-0100-000021000000}" name="Imp 11"/>
    <tableColumn id="34" xr3:uid="{00000000-0010-0000-0100-000022000000}" name="Imp 12"/>
    <tableColumn id="35" xr3:uid="{00000000-0010-0000-0100-000023000000}" name="Imp 13"/>
    <tableColumn id="36" xr3:uid="{00000000-0010-0000-0100-000024000000}" name="Imp 14"/>
    <tableColumn id="37" xr3:uid="{00000000-0010-0000-0100-000025000000}" name="Imp 15"/>
    <tableColumn id="38" xr3:uid="{00000000-0010-0000-0100-000026000000}" name="1"/>
    <tableColumn id="39" xr3:uid="{00000000-0010-0000-0100-000027000000}" name="2"/>
    <tableColumn id="40" xr3:uid="{00000000-0010-0000-0100-000028000000}" name="3"/>
    <tableColumn id="41" xr3:uid="{00000000-0010-0000-0100-000029000000}" name="4"/>
    <tableColumn id="42" xr3:uid="{00000000-0010-0000-0100-00002A000000}" name="5"/>
    <tableColumn id="43" xr3:uid="{00000000-0010-0000-0100-00002B000000}" name="6"/>
    <tableColumn id="44" xr3:uid="{00000000-0010-0000-0100-00002C000000}" name="7"/>
    <tableColumn id="45" xr3:uid="{00000000-0010-0000-0100-00002D000000}" name="8"/>
    <tableColumn id="46" xr3:uid="{00000000-0010-0000-0100-00002E000000}" name="9"/>
    <tableColumn id="47" xr3:uid="{00000000-0010-0000-0100-00002F000000}" name="10"/>
    <tableColumn id="48" xr3:uid="{00000000-0010-0000-0100-000030000000}" name="11"/>
    <tableColumn id="49" xr3:uid="{00000000-0010-0000-0100-000031000000}" name="12"/>
    <tableColumn id="50" xr3:uid="{00000000-0010-0000-0100-000032000000}" name="13"/>
    <tableColumn id="51" xr3:uid="{00000000-0010-0000-0100-000033000000}" name="14"/>
    <tableColumn id="52" xr3:uid="{00000000-0010-0000-0100-000034000000}" name="15"/>
  </tableColumns>
  <tableStyleInfo name="MPPT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K1000"/>
  <sheetViews>
    <sheetView showGridLines="0" tabSelected="1" zoomScale="85" workbookViewId="0">
      <selection activeCell="N24" sqref="N24"/>
    </sheetView>
  </sheetViews>
  <sheetFormatPr defaultColWidth="14.42578125" defaultRowHeight="15" customHeight="1" x14ac:dyDescent="0.25"/>
  <cols>
    <col min="1" max="1" width="1.7109375" customWidth="1"/>
    <col min="2" max="2" width="61.28515625" customWidth="1"/>
    <col min="3" max="3" width="7.42578125" customWidth="1"/>
    <col min="4" max="4" width="9.5703125" customWidth="1"/>
    <col min="5" max="5" width="7.42578125" customWidth="1"/>
    <col min="6" max="6" width="8.5703125" customWidth="1"/>
    <col min="7" max="7" width="8.85546875" customWidth="1"/>
    <col min="8" max="8" width="8.5703125" customWidth="1"/>
    <col min="9" max="9" width="8.7109375" customWidth="1"/>
    <col min="10" max="10" width="14.28515625" bestFit="1" customWidth="1"/>
    <col min="11" max="11" width="1.7109375" customWidth="1"/>
    <col min="12" max="12" width="39.7109375" customWidth="1"/>
    <col min="13" max="13" width="7.140625" customWidth="1"/>
    <col min="14" max="14" width="11.140625" customWidth="1"/>
    <col min="15" max="15" width="8.85546875" customWidth="1"/>
    <col min="16" max="16" width="8" customWidth="1"/>
    <col min="17" max="18" width="8.7109375" customWidth="1"/>
    <col min="19" max="19" width="7.28515625" customWidth="1"/>
    <col min="20" max="32" width="6.7109375" customWidth="1"/>
    <col min="33" max="34" width="8.7109375" customWidth="1"/>
    <col min="35" max="47" width="6.7109375" customWidth="1"/>
    <col min="48" max="48" width="8.7109375" customWidth="1"/>
    <col min="49" max="61" width="4.28515625" customWidth="1"/>
    <col min="62" max="63" width="8.7109375" customWidth="1"/>
  </cols>
  <sheetData>
    <row r="1" spans="2:63" ht="33" customHeight="1" x14ac:dyDescent="0.25"/>
    <row r="2" spans="2:63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7</v>
      </c>
      <c r="J2" s="1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  <c r="AC2" s="2" t="s">
        <v>26</v>
      </c>
      <c r="AD2" s="2" t="s">
        <v>27</v>
      </c>
      <c r="AE2" s="2" t="s">
        <v>28</v>
      </c>
      <c r="AF2" s="2" t="s">
        <v>29</v>
      </c>
      <c r="AG2" s="2" t="s">
        <v>30</v>
      </c>
      <c r="AH2" s="2" t="s">
        <v>31</v>
      </c>
      <c r="AI2" s="2" t="s">
        <v>32</v>
      </c>
      <c r="AJ2" s="2" t="s">
        <v>33</v>
      </c>
      <c r="AK2" s="2" t="s">
        <v>34</v>
      </c>
      <c r="AL2" s="2" t="s">
        <v>35</v>
      </c>
      <c r="AM2" s="2" t="s">
        <v>36</v>
      </c>
      <c r="AN2" s="2" t="s">
        <v>37</v>
      </c>
      <c r="AO2" s="2" t="s">
        <v>38</v>
      </c>
      <c r="AP2" s="2" t="s">
        <v>39</v>
      </c>
      <c r="AQ2" s="2" t="s">
        <v>40</v>
      </c>
      <c r="AR2" s="2" t="s">
        <v>41</v>
      </c>
      <c r="AS2" s="2" t="s">
        <v>42</v>
      </c>
      <c r="AT2" s="2" t="s">
        <v>43</v>
      </c>
      <c r="AU2" s="2" t="s">
        <v>44</v>
      </c>
      <c r="AV2" s="2" t="s">
        <v>45</v>
      </c>
      <c r="AW2" s="2" t="s">
        <v>46</v>
      </c>
      <c r="AX2" s="2" t="s">
        <v>47</v>
      </c>
      <c r="AY2" s="2" t="s">
        <v>48</v>
      </c>
      <c r="AZ2" s="2" t="s">
        <v>49</v>
      </c>
      <c r="BA2" s="2" t="s">
        <v>50</v>
      </c>
      <c r="BB2" s="2" t="s">
        <v>51</v>
      </c>
      <c r="BC2" s="2" t="s">
        <v>52</v>
      </c>
      <c r="BD2" s="2" t="s">
        <v>53</v>
      </c>
      <c r="BE2" s="2" t="s">
        <v>54</v>
      </c>
      <c r="BF2" s="2" t="s">
        <v>55</v>
      </c>
      <c r="BG2" s="2" t="s">
        <v>56</v>
      </c>
      <c r="BH2" s="2" t="s">
        <v>57</v>
      </c>
      <c r="BI2" s="2" t="s">
        <v>58</v>
      </c>
      <c r="BJ2" s="2" t="s">
        <v>59</v>
      </c>
      <c r="BK2" s="2" t="s">
        <v>60</v>
      </c>
    </row>
    <row r="3" spans="2:63" x14ac:dyDescent="0.25">
      <c r="B3" t="s">
        <v>61</v>
      </c>
      <c r="C3" s="3">
        <v>530</v>
      </c>
      <c r="D3" s="3">
        <v>46.3</v>
      </c>
      <c r="E3" s="3">
        <v>38.799999999999997</v>
      </c>
      <c r="F3" s="3">
        <v>-0.28000000000000003</v>
      </c>
      <c r="G3" s="3">
        <v>13.67</v>
      </c>
      <c r="H3" s="3">
        <v>14.49</v>
      </c>
      <c r="I3" s="3"/>
      <c r="J3" s="3"/>
      <c r="L3" t="s">
        <v>62</v>
      </c>
      <c r="M3">
        <v>6</v>
      </c>
      <c r="N3">
        <f>Table_2[[#This Row],[Pnom]]*1.7*1000</f>
        <v>10200</v>
      </c>
      <c r="O3">
        <v>550</v>
      </c>
      <c r="P3">
        <v>60</v>
      </c>
      <c r="Q3" s="4">
        <v>186192</v>
      </c>
      <c r="R3" s="4" t="s">
        <v>63</v>
      </c>
      <c r="S3" s="5">
        <v>20</v>
      </c>
      <c r="T3">
        <v>20</v>
      </c>
      <c r="AG3" s="6"/>
      <c r="AH3">
        <v>16</v>
      </c>
      <c r="AI3">
        <v>16</v>
      </c>
      <c r="AV3" s="6"/>
      <c r="AW3">
        <v>1</v>
      </c>
      <c r="AX3">
        <v>1</v>
      </c>
    </row>
    <row r="4" spans="2:63" x14ac:dyDescent="0.25">
      <c r="B4" t="s">
        <v>64</v>
      </c>
      <c r="C4" s="3">
        <v>535</v>
      </c>
      <c r="D4" s="3">
        <v>46.5</v>
      </c>
      <c r="E4" s="3">
        <v>39</v>
      </c>
      <c r="F4" s="3">
        <v>-0.28000000000000003</v>
      </c>
      <c r="G4" s="3">
        <v>13.71</v>
      </c>
      <c r="H4" s="3">
        <v>14.45</v>
      </c>
      <c r="I4" s="3"/>
      <c r="J4" s="3"/>
      <c r="L4" t="s">
        <v>65</v>
      </c>
      <c r="M4">
        <v>10.5</v>
      </c>
      <c r="N4">
        <v>21000</v>
      </c>
      <c r="O4">
        <v>550</v>
      </c>
      <c r="P4">
        <v>40</v>
      </c>
      <c r="Q4" s="7"/>
      <c r="R4" s="7"/>
      <c r="S4" s="8">
        <v>40</v>
      </c>
      <c r="T4">
        <v>25</v>
      </c>
      <c r="AG4" s="9"/>
      <c r="AH4">
        <v>32</v>
      </c>
      <c r="AI4">
        <v>20</v>
      </c>
      <c r="AV4" s="9"/>
      <c r="AW4">
        <v>2</v>
      </c>
      <c r="AX4">
        <v>1</v>
      </c>
    </row>
    <row r="5" spans="2:63" x14ac:dyDescent="0.25">
      <c r="B5" t="s">
        <v>66</v>
      </c>
      <c r="C5" s="3">
        <v>710</v>
      </c>
      <c r="D5" s="3">
        <v>48</v>
      </c>
      <c r="E5" s="3">
        <v>40.4</v>
      </c>
      <c r="F5" s="3">
        <v>-0.25</v>
      </c>
      <c r="G5" s="3">
        <v>17.57</v>
      </c>
      <c r="H5" s="3">
        <v>18.61</v>
      </c>
      <c r="I5" s="3"/>
      <c r="J5" s="3"/>
      <c r="L5" t="s">
        <v>67</v>
      </c>
      <c r="M5">
        <v>10</v>
      </c>
      <c r="N5">
        <v>20000</v>
      </c>
      <c r="O5">
        <v>600</v>
      </c>
      <c r="P5">
        <v>40</v>
      </c>
      <c r="Q5" s="4">
        <v>167963</v>
      </c>
      <c r="R5" s="4" t="s">
        <v>63</v>
      </c>
      <c r="S5" s="8">
        <v>40</v>
      </c>
      <c r="T5">
        <v>20</v>
      </c>
      <c r="AG5" s="9"/>
      <c r="AH5">
        <v>32</v>
      </c>
      <c r="AI5">
        <v>16</v>
      </c>
      <c r="AV5" s="9"/>
      <c r="AW5">
        <v>2</v>
      </c>
      <c r="AX5">
        <v>1</v>
      </c>
    </row>
    <row r="6" spans="2:63" x14ac:dyDescent="0.25">
      <c r="B6" t="s">
        <v>396</v>
      </c>
      <c r="C6">
        <v>710</v>
      </c>
      <c r="D6">
        <v>48.94</v>
      </c>
      <c r="E6">
        <v>40.69</v>
      </c>
      <c r="F6">
        <v>-0.25900000000000001</v>
      </c>
      <c r="G6">
        <v>17.45</v>
      </c>
      <c r="H6">
        <v>18.45</v>
      </c>
      <c r="I6" s="3">
        <v>201741</v>
      </c>
      <c r="J6" s="3" t="s">
        <v>63</v>
      </c>
      <c r="L6" t="s">
        <v>68</v>
      </c>
      <c r="M6">
        <v>15</v>
      </c>
      <c r="N6">
        <f>$M6*1000*2</f>
        <v>30000</v>
      </c>
      <c r="O6">
        <v>1100</v>
      </c>
      <c r="P6">
        <v>140</v>
      </c>
      <c r="Q6" s="7">
        <v>179270</v>
      </c>
      <c r="R6" s="7" t="s">
        <v>63</v>
      </c>
      <c r="S6" s="8">
        <v>32</v>
      </c>
      <c r="T6">
        <v>25</v>
      </c>
      <c r="AG6" s="9"/>
      <c r="AH6">
        <v>26</v>
      </c>
      <c r="AI6">
        <v>20</v>
      </c>
      <c r="AV6" s="9"/>
      <c r="AW6">
        <v>2</v>
      </c>
      <c r="AX6">
        <v>1</v>
      </c>
    </row>
    <row r="7" spans="2:63" x14ac:dyDescent="0.25">
      <c r="B7" t="s">
        <v>69</v>
      </c>
      <c r="C7" s="3">
        <v>615</v>
      </c>
      <c r="D7" s="3">
        <v>48.17</v>
      </c>
      <c r="E7" s="3">
        <v>40.35</v>
      </c>
      <c r="F7" s="3">
        <v>-0.25</v>
      </c>
      <c r="G7" s="3">
        <v>15.25</v>
      </c>
      <c r="H7" s="3">
        <v>16.14</v>
      </c>
      <c r="I7" s="3"/>
      <c r="J7" s="3"/>
      <c r="L7" t="s">
        <v>70</v>
      </c>
      <c r="M7">
        <v>15</v>
      </c>
      <c r="N7">
        <f>$M7*1000*1.5</f>
        <v>22500</v>
      </c>
      <c r="O7">
        <v>1100</v>
      </c>
      <c r="P7">
        <v>140</v>
      </c>
      <c r="Q7" s="4"/>
      <c r="R7" s="4"/>
      <c r="S7" s="8">
        <v>32</v>
      </c>
      <c r="T7">
        <v>25</v>
      </c>
      <c r="AG7" s="9"/>
      <c r="AH7">
        <v>26</v>
      </c>
      <c r="AI7">
        <v>20</v>
      </c>
      <c r="AV7" s="9"/>
      <c r="AW7">
        <v>2</v>
      </c>
      <c r="AX7">
        <v>1</v>
      </c>
    </row>
    <row r="8" spans="2:63" x14ac:dyDescent="0.25">
      <c r="B8" t="s">
        <v>71</v>
      </c>
      <c r="C8" s="3">
        <v>620</v>
      </c>
      <c r="D8" s="3">
        <v>47.98</v>
      </c>
      <c r="E8" s="3">
        <v>40.39</v>
      </c>
      <c r="F8" s="3">
        <v>-0.25</v>
      </c>
      <c r="G8" s="3">
        <v>15.35</v>
      </c>
      <c r="H8" s="3">
        <v>16.3</v>
      </c>
      <c r="I8" s="3"/>
      <c r="J8" s="3"/>
      <c r="L8" t="s">
        <v>72</v>
      </c>
      <c r="M8">
        <v>15</v>
      </c>
      <c r="N8">
        <f>Table_2[[#This Row],[Pnom]]*2000</f>
        <v>30000</v>
      </c>
      <c r="O8">
        <v>800</v>
      </c>
      <c r="P8">
        <v>360</v>
      </c>
      <c r="Q8" s="7">
        <v>186183</v>
      </c>
      <c r="R8" s="7" t="s">
        <v>63</v>
      </c>
      <c r="S8" s="5">
        <v>40</v>
      </c>
      <c r="T8">
        <v>40</v>
      </c>
      <c r="AG8" s="6"/>
      <c r="AH8">
        <v>32</v>
      </c>
      <c r="AI8">
        <v>32</v>
      </c>
      <c r="AV8" s="6"/>
      <c r="AW8">
        <v>2</v>
      </c>
      <c r="AX8">
        <v>2</v>
      </c>
    </row>
    <row r="9" spans="2:63" x14ac:dyDescent="0.25">
      <c r="B9" s="3" t="s">
        <v>73</v>
      </c>
      <c r="C9" s="3">
        <v>620</v>
      </c>
      <c r="D9" s="3">
        <v>47.98</v>
      </c>
      <c r="E9" s="3">
        <v>40.39</v>
      </c>
      <c r="F9" s="3">
        <v>-0.25</v>
      </c>
      <c r="G9" s="3">
        <v>15.35</v>
      </c>
      <c r="H9" s="3">
        <v>16.3</v>
      </c>
      <c r="I9" s="3">
        <v>179728</v>
      </c>
      <c r="J9" s="3" t="s">
        <v>63</v>
      </c>
      <c r="L9" t="s">
        <v>74</v>
      </c>
      <c r="M9">
        <v>20</v>
      </c>
      <c r="N9">
        <f>$M9*1000*2</f>
        <v>40000</v>
      </c>
      <c r="O9">
        <v>1100</v>
      </c>
      <c r="P9">
        <v>200</v>
      </c>
      <c r="Q9" s="4">
        <v>179271</v>
      </c>
      <c r="R9" s="4" t="s">
        <v>63</v>
      </c>
      <c r="S9" s="8">
        <v>40</v>
      </c>
      <c r="T9">
        <v>40</v>
      </c>
      <c r="AG9" s="9"/>
      <c r="AH9">
        <v>32</v>
      </c>
      <c r="AI9">
        <v>32</v>
      </c>
      <c r="AV9" s="9"/>
      <c r="AW9">
        <v>2</v>
      </c>
      <c r="AX9">
        <v>2</v>
      </c>
    </row>
    <row r="10" spans="2:63" x14ac:dyDescent="0.25">
      <c r="B10" t="s">
        <v>75</v>
      </c>
      <c r="C10" s="3">
        <v>610</v>
      </c>
      <c r="D10" s="3">
        <v>49</v>
      </c>
      <c r="E10" s="3">
        <v>40.799999999999997</v>
      </c>
      <c r="F10" s="3">
        <v>-0.25</v>
      </c>
      <c r="G10" s="3">
        <v>14.96</v>
      </c>
      <c r="H10" s="3">
        <v>15.86</v>
      </c>
      <c r="I10" s="3"/>
      <c r="J10" s="3"/>
      <c r="L10" t="s">
        <v>76</v>
      </c>
      <c r="M10">
        <v>20</v>
      </c>
      <c r="N10">
        <f>$M10*1000*1.5</f>
        <v>30000</v>
      </c>
      <c r="O10">
        <v>1100</v>
      </c>
      <c r="P10">
        <v>200</v>
      </c>
      <c r="Q10" s="7"/>
      <c r="R10" s="7"/>
      <c r="S10" s="8">
        <v>40</v>
      </c>
      <c r="T10">
        <v>40</v>
      </c>
      <c r="AG10" s="9"/>
      <c r="AH10">
        <v>32</v>
      </c>
      <c r="AI10">
        <v>32</v>
      </c>
      <c r="AV10" s="9"/>
      <c r="AW10">
        <v>2</v>
      </c>
      <c r="AX10">
        <v>2</v>
      </c>
    </row>
    <row r="11" spans="2:63" x14ac:dyDescent="0.25">
      <c r="B11" t="s">
        <v>77</v>
      </c>
      <c r="C11">
        <v>590</v>
      </c>
      <c r="D11">
        <v>54.63</v>
      </c>
      <c r="E11">
        <v>44.3</v>
      </c>
      <c r="F11">
        <v>-0.26</v>
      </c>
      <c r="G11">
        <v>13.17</v>
      </c>
      <c r="H11">
        <v>13.81</v>
      </c>
      <c r="L11" t="s">
        <v>78</v>
      </c>
      <c r="M11">
        <v>25</v>
      </c>
      <c r="N11">
        <f>$M11*1000*2</f>
        <v>50000</v>
      </c>
      <c r="O11">
        <v>1100</v>
      </c>
      <c r="P11">
        <v>200</v>
      </c>
      <c r="Q11" s="10">
        <v>179272</v>
      </c>
      <c r="R11" s="10" t="s">
        <v>63</v>
      </c>
      <c r="S11" s="8">
        <v>40</v>
      </c>
      <c r="T11">
        <v>40</v>
      </c>
      <c r="AG11" s="9"/>
      <c r="AH11">
        <v>32</v>
      </c>
      <c r="AI11">
        <v>32</v>
      </c>
      <c r="AV11" s="9"/>
      <c r="AW11">
        <v>2</v>
      </c>
      <c r="AX11">
        <v>2</v>
      </c>
    </row>
    <row r="12" spans="2:63" x14ac:dyDescent="0.25">
      <c r="B12" t="s">
        <v>79</v>
      </c>
      <c r="C12" s="3">
        <v>615</v>
      </c>
      <c r="D12" s="3">
        <v>48.5</v>
      </c>
      <c r="E12" s="3">
        <v>40.590000000000003</v>
      </c>
      <c r="F12" s="3">
        <v>-0.24</v>
      </c>
      <c r="G12" s="3">
        <v>15.08</v>
      </c>
      <c r="H12" s="3">
        <v>16</v>
      </c>
      <c r="I12" s="3"/>
      <c r="J12" s="3"/>
      <c r="L12" t="s">
        <v>80</v>
      </c>
      <c r="M12">
        <v>25</v>
      </c>
      <c r="N12">
        <f>$M12*1000*1.5</f>
        <v>37500</v>
      </c>
      <c r="O12">
        <v>1100</v>
      </c>
      <c r="P12">
        <v>200</v>
      </c>
      <c r="Q12" s="7"/>
      <c r="R12" s="7"/>
      <c r="S12" s="8">
        <v>40</v>
      </c>
      <c r="T12">
        <v>40</v>
      </c>
      <c r="AG12" s="9"/>
      <c r="AH12">
        <v>32</v>
      </c>
      <c r="AI12">
        <v>32</v>
      </c>
      <c r="AV12" s="9"/>
      <c r="AW12">
        <v>2</v>
      </c>
      <c r="AX12">
        <v>2</v>
      </c>
    </row>
    <row r="13" spans="2:63" x14ac:dyDescent="0.25">
      <c r="B13" t="s">
        <v>81</v>
      </c>
      <c r="C13" s="3">
        <v>620</v>
      </c>
      <c r="D13" s="3">
        <v>48.5</v>
      </c>
      <c r="E13" s="3">
        <v>40.24</v>
      </c>
      <c r="F13" s="3">
        <v>-0.24</v>
      </c>
      <c r="G13" s="3">
        <v>15.41</v>
      </c>
      <c r="H13" s="3">
        <v>16.260000000000002</v>
      </c>
      <c r="I13" s="3"/>
      <c r="J13" s="3"/>
      <c r="L13" t="s">
        <v>82</v>
      </c>
      <c r="M13">
        <v>25</v>
      </c>
      <c r="N13">
        <f>Table_2[[#This Row],[Pnom]]*2000</f>
        <v>50000</v>
      </c>
      <c r="O13">
        <v>800</v>
      </c>
      <c r="P13">
        <v>360</v>
      </c>
      <c r="Q13" s="4">
        <v>186184</v>
      </c>
      <c r="R13" s="4" t="s">
        <v>63</v>
      </c>
      <c r="S13" s="5">
        <v>50</v>
      </c>
      <c r="T13">
        <v>50</v>
      </c>
      <c r="U13">
        <v>25</v>
      </c>
      <c r="V13">
        <v>25</v>
      </c>
      <c r="AG13" s="6"/>
      <c r="AH13">
        <v>40</v>
      </c>
      <c r="AI13">
        <v>40</v>
      </c>
      <c r="AJ13">
        <v>20</v>
      </c>
      <c r="AK13">
        <v>20</v>
      </c>
      <c r="AV13" s="6"/>
      <c r="AW13">
        <v>2</v>
      </c>
      <c r="AX13">
        <v>2</v>
      </c>
      <c r="AY13">
        <v>1</v>
      </c>
      <c r="AZ13">
        <v>1</v>
      </c>
    </row>
    <row r="14" spans="2:63" x14ac:dyDescent="0.25">
      <c r="B14" t="s">
        <v>83</v>
      </c>
      <c r="C14" s="3">
        <v>625</v>
      </c>
      <c r="D14" s="3">
        <v>48.7</v>
      </c>
      <c r="E14" s="3">
        <v>40.46</v>
      </c>
      <c r="F14" s="3">
        <v>-0.24</v>
      </c>
      <c r="G14" s="3">
        <v>15.45</v>
      </c>
      <c r="H14" s="3">
        <v>16.32</v>
      </c>
      <c r="I14" s="3"/>
      <c r="J14" s="3"/>
      <c r="L14" t="s">
        <v>84</v>
      </c>
      <c r="M14">
        <v>30</v>
      </c>
      <c r="N14">
        <f>$M14*1000*2</f>
        <v>60000</v>
      </c>
      <c r="O14">
        <v>1100</v>
      </c>
      <c r="P14">
        <v>160</v>
      </c>
      <c r="Q14" s="7">
        <v>179274</v>
      </c>
      <c r="R14" s="7" t="s">
        <v>63</v>
      </c>
      <c r="S14" s="8">
        <v>50</v>
      </c>
      <c r="T14">
        <v>40</v>
      </c>
      <c r="U14">
        <v>40</v>
      </c>
      <c r="AG14" s="9"/>
      <c r="AH14">
        <v>40</v>
      </c>
      <c r="AI14">
        <v>32</v>
      </c>
      <c r="AJ14">
        <v>32</v>
      </c>
      <c r="AV14" s="9"/>
      <c r="AW14">
        <v>2</v>
      </c>
      <c r="AX14">
        <v>2</v>
      </c>
      <c r="AY14">
        <v>2</v>
      </c>
    </row>
    <row r="15" spans="2:63" x14ac:dyDescent="0.25">
      <c r="B15" t="s">
        <v>85</v>
      </c>
      <c r="C15">
        <v>550</v>
      </c>
      <c r="D15">
        <v>49.8</v>
      </c>
      <c r="E15">
        <v>42.16</v>
      </c>
      <c r="F15">
        <v>-0.28999999999999998</v>
      </c>
      <c r="G15" s="3">
        <v>13.05</v>
      </c>
      <c r="H15" s="3">
        <v>13.94</v>
      </c>
      <c r="I15" s="3"/>
      <c r="J15" s="3"/>
      <c r="L15" t="s">
        <v>86</v>
      </c>
      <c r="M15">
        <v>30</v>
      </c>
      <c r="N15">
        <f>$M15*1000*1.5</f>
        <v>45000</v>
      </c>
      <c r="O15">
        <v>1100</v>
      </c>
      <c r="P15">
        <v>160</v>
      </c>
      <c r="Q15" s="4"/>
      <c r="R15" s="4"/>
      <c r="S15" s="8">
        <v>50</v>
      </c>
      <c r="T15">
        <v>40</v>
      </c>
      <c r="U15">
        <v>40</v>
      </c>
      <c r="AG15" s="9"/>
      <c r="AH15">
        <v>40</v>
      </c>
      <c r="AI15">
        <v>32</v>
      </c>
      <c r="AJ15">
        <v>32</v>
      </c>
      <c r="AV15" s="9"/>
      <c r="AW15">
        <v>2</v>
      </c>
      <c r="AX15">
        <v>2</v>
      </c>
      <c r="AY15">
        <v>2</v>
      </c>
    </row>
    <row r="16" spans="2:63" x14ac:dyDescent="0.25">
      <c r="B16" t="s">
        <v>87</v>
      </c>
      <c r="C16">
        <v>370</v>
      </c>
      <c r="D16">
        <v>47.4</v>
      </c>
      <c r="E16">
        <v>40</v>
      </c>
      <c r="F16">
        <v>-0.28999999999999998</v>
      </c>
      <c r="G16" s="3">
        <v>9.26</v>
      </c>
      <c r="H16" s="3">
        <v>9.83</v>
      </c>
      <c r="I16" s="3"/>
      <c r="J16" s="3"/>
      <c r="L16" t="s">
        <v>88</v>
      </c>
      <c r="M16">
        <v>3</v>
      </c>
      <c r="N16">
        <v>6000</v>
      </c>
      <c r="O16">
        <v>550</v>
      </c>
      <c r="P16">
        <v>40</v>
      </c>
      <c r="Q16" s="7">
        <v>168764</v>
      </c>
      <c r="R16" s="7" t="s">
        <v>63</v>
      </c>
      <c r="S16" s="8">
        <v>22</v>
      </c>
      <c r="AG16" s="9"/>
      <c r="AH16" s="11">
        <v>18</v>
      </c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  <c r="AV16" s="12"/>
      <c r="AW16">
        <v>1</v>
      </c>
    </row>
    <row r="17" spans="2:60" x14ac:dyDescent="0.25">
      <c r="B17" t="s">
        <v>89</v>
      </c>
      <c r="C17">
        <v>400</v>
      </c>
      <c r="D17">
        <v>47.2</v>
      </c>
      <c r="E17">
        <v>38.700000000000003</v>
      </c>
      <c r="F17">
        <v>-0.28000000000000003</v>
      </c>
      <c r="G17" s="3">
        <v>10.34</v>
      </c>
      <c r="H17" s="3">
        <v>10.9</v>
      </c>
      <c r="I17" s="3"/>
      <c r="J17" s="3"/>
      <c r="L17" t="s">
        <v>90</v>
      </c>
      <c r="M17">
        <v>40</v>
      </c>
      <c r="N17">
        <v>80000</v>
      </c>
      <c r="O17">
        <v>1100</v>
      </c>
      <c r="P17">
        <v>180</v>
      </c>
      <c r="Q17" s="4">
        <v>186177</v>
      </c>
      <c r="R17" s="4" t="s">
        <v>63</v>
      </c>
      <c r="S17" s="5">
        <v>50</v>
      </c>
      <c r="T17">
        <v>50</v>
      </c>
      <c r="U17">
        <v>25</v>
      </c>
      <c r="V17">
        <v>25</v>
      </c>
      <c r="AG17" s="6"/>
      <c r="AH17">
        <v>40</v>
      </c>
      <c r="AI17">
        <v>40</v>
      </c>
      <c r="AJ17">
        <v>20</v>
      </c>
      <c r="AK17">
        <v>20</v>
      </c>
      <c r="AV17" s="6"/>
      <c r="AW17">
        <v>2</v>
      </c>
      <c r="AX17">
        <v>2</v>
      </c>
      <c r="AY17">
        <v>1</v>
      </c>
      <c r="AZ17">
        <v>1</v>
      </c>
    </row>
    <row r="18" spans="2:60" x14ac:dyDescent="0.25">
      <c r="B18" t="s">
        <v>91</v>
      </c>
      <c r="C18">
        <v>405</v>
      </c>
      <c r="D18">
        <v>47.4</v>
      </c>
      <c r="E18">
        <v>38.9</v>
      </c>
      <c r="F18">
        <v>-0.28000000000000003</v>
      </c>
      <c r="G18" s="3">
        <v>10.42</v>
      </c>
      <c r="H18" s="3">
        <v>10.98</v>
      </c>
      <c r="I18" s="3"/>
      <c r="J18" s="3"/>
      <c r="L18" t="s">
        <v>92</v>
      </c>
      <c r="M18">
        <v>4</v>
      </c>
      <c r="N18">
        <v>8000</v>
      </c>
      <c r="O18">
        <v>550</v>
      </c>
      <c r="P18">
        <v>40</v>
      </c>
      <c r="Q18" s="7">
        <v>168765</v>
      </c>
      <c r="R18" s="7" t="s">
        <v>63</v>
      </c>
      <c r="S18" s="8">
        <v>22</v>
      </c>
      <c r="T18">
        <v>22</v>
      </c>
      <c r="AG18" s="9"/>
      <c r="AH18">
        <v>18</v>
      </c>
      <c r="AI18">
        <v>18</v>
      </c>
      <c r="AV18" s="9"/>
      <c r="AW18">
        <v>1</v>
      </c>
      <c r="AX18">
        <v>1</v>
      </c>
    </row>
    <row r="19" spans="2:60" x14ac:dyDescent="0.25">
      <c r="B19" t="s">
        <v>93</v>
      </c>
      <c r="C19">
        <v>420</v>
      </c>
      <c r="D19">
        <v>48</v>
      </c>
      <c r="E19">
        <v>39.5</v>
      </c>
      <c r="F19">
        <v>-0.28000000000000003</v>
      </c>
      <c r="G19" s="3">
        <v>10.64</v>
      </c>
      <c r="H19" s="3">
        <v>11.26</v>
      </c>
      <c r="I19" s="3"/>
      <c r="J19" s="3"/>
      <c r="L19" t="s">
        <v>94</v>
      </c>
      <c r="M19">
        <v>5</v>
      </c>
      <c r="N19">
        <v>10000</v>
      </c>
      <c r="O19">
        <v>550</v>
      </c>
      <c r="P19">
        <v>40</v>
      </c>
      <c r="Q19" s="4"/>
      <c r="R19" s="4"/>
      <c r="S19" s="8">
        <v>22</v>
      </c>
      <c r="T19">
        <v>22</v>
      </c>
      <c r="AG19" s="9"/>
      <c r="AH19" s="11">
        <v>18</v>
      </c>
      <c r="AI19" s="11">
        <v>18</v>
      </c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2"/>
      <c r="AW19">
        <v>1</v>
      </c>
      <c r="AX19">
        <v>1</v>
      </c>
    </row>
    <row r="20" spans="2:60" x14ac:dyDescent="0.25">
      <c r="B20" t="s">
        <v>95</v>
      </c>
      <c r="C20">
        <v>435</v>
      </c>
      <c r="D20">
        <v>52.9</v>
      </c>
      <c r="E20">
        <v>40.5</v>
      </c>
      <c r="F20">
        <v>-0.27</v>
      </c>
      <c r="G20" s="3">
        <v>9.82</v>
      </c>
      <c r="H20" s="3">
        <v>10.46</v>
      </c>
      <c r="I20" s="3"/>
      <c r="J20" s="3"/>
      <c r="L20" t="s">
        <v>96</v>
      </c>
      <c r="M20">
        <v>6</v>
      </c>
      <c r="N20">
        <v>12000</v>
      </c>
      <c r="O20">
        <v>550</v>
      </c>
      <c r="P20">
        <v>40</v>
      </c>
      <c r="Q20" s="7">
        <v>168766</v>
      </c>
      <c r="R20" s="7" t="s">
        <v>63</v>
      </c>
      <c r="S20" s="8">
        <v>22</v>
      </c>
      <c r="T20">
        <v>22</v>
      </c>
      <c r="AG20" s="9"/>
      <c r="AH20">
        <v>18</v>
      </c>
      <c r="AI20">
        <v>18</v>
      </c>
      <c r="AV20" s="9"/>
      <c r="AW20">
        <v>1</v>
      </c>
      <c r="AX20">
        <v>1</v>
      </c>
    </row>
    <row r="21" spans="2:60" ht="15.75" customHeight="1" x14ac:dyDescent="0.25">
      <c r="B21" t="s">
        <v>97</v>
      </c>
      <c r="C21">
        <v>440</v>
      </c>
      <c r="D21">
        <v>53.1</v>
      </c>
      <c r="E21">
        <v>40.700000000000003</v>
      </c>
      <c r="F21">
        <v>-0.27</v>
      </c>
      <c r="G21" s="3">
        <v>9.89</v>
      </c>
      <c r="H21" s="3">
        <v>10.52</v>
      </c>
      <c r="I21" s="3"/>
      <c r="J21" s="3"/>
      <c r="L21" t="s">
        <v>98</v>
      </c>
      <c r="M21">
        <v>7.5</v>
      </c>
      <c r="N21">
        <v>15000</v>
      </c>
      <c r="O21">
        <v>600</v>
      </c>
      <c r="P21">
        <v>80</v>
      </c>
      <c r="Q21" s="4">
        <v>167958</v>
      </c>
      <c r="R21" s="4" t="s">
        <v>63</v>
      </c>
      <c r="S21" s="8">
        <v>35</v>
      </c>
      <c r="T21">
        <v>20</v>
      </c>
      <c r="AG21" s="9"/>
      <c r="AH21" s="11">
        <v>27</v>
      </c>
      <c r="AI21" s="11">
        <v>16</v>
      </c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2"/>
      <c r="AW21">
        <v>2</v>
      </c>
      <c r="AX21">
        <v>1</v>
      </c>
    </row>
    <row r="22" spans="2:60" ht="15.75" customHeight="1" x14ac:dyDescent="0.25">
      <c r="B22" t="s">
        <v>99</v>
      </c>
      <c r="C22">
        <v>445</v>
      </c>
      <c r="D22">
        <v>48.9</v>
      </c>
      <c r="E22">
        <v>40.9</v>
      </c>
      <c r="F22">
        <v>-0.27</v>
      </c>
      <c r="G22" s="3">
        <v>10.89</v>
      </c>
      <c r="H22" s="3">
        <v>11.54</v>
      </c>
      <c r="I22" s="3"/>
      <c r="J22" s="3"/>
      <c r="L22" t="s">
        <v>100</v>
      </c>
      <c r="M22">
        <v>75</v>
      </c>
      <c r="N22">
        <v>150000</v>
      </c>
      <c r="O22">
        <v>1100</v>
      </c>
      <c r="P22">
        <v>180</v>
      </c>
      <c r="Q22" s="7">
        <v>186180</v>
      </c>
      <c r="R22" s="7" t="s">
        <v>63</v>
      </c>
      <c r="S22" s="5">
        <v>60</v>
      </c>
      <c r="T22">
        <v>60</v>
      </c>
      <c r="U22">
        <v>60</v>
      </c>
      <c r="V22">
        <v>60</v>
      </c>
      <c r="AG22" s="6"/>
      <c r="AH22">
        <v>48</v>
      </c>
      <c r="AI22">
        <v>48</v>
      </c>
      <c r="AJ22">
        <v>48</v>
      </c>
      <c r="AK22">
        <v>48</v>
      </c>
      <c r="AV22" s="6"/>
      <c r="AW22">
        <v>3</v>
      </c>
      <c r="AX22">
        <v>3</v>
      </c>
      <c r="AY22">
        <v>3</v>
      </c>
      <c r="AZ22">
        <v>3</v>
      </c>
    </row>
    <row r="23" spans="2:60" ht="15.75" customHeight="1" x14ac:dyDescent="0.25">
      <c r="B23" t="s">
        <v>101</v>
      </c>
      <c r="C23">
        <v>450</v>
      </c>
      <c r="D23">
        <v>49.1</v>
      </c>
      <c r="E23">
        <v>41.1</v>
      </c>
      <c r="F23">
        <v>-0.27</v>
      </c>
      <c r="G23" s="3">
        <v>10.96</v>
      </c>
      <c r="H23" s="3">
        <v>11.6</v>
      </c>
      <c r="I23" s="3"/>
      <c r="J23" s="3"/>
      <c r="L23" t="s">
        <v>102</v>
      </c>
      <c r="M23">
        <v>75</v>
      </c>
      <c r="N23">
        <v>150000</v>
      </c>
      <c r="O23">
        <v>800</v>
      </c>
      <c r="P23">
        <v>195</v>
      </c>
      <c r="Q23" s="4">
        <v>186186</v>
      </c>
      <c r="R23" s="4" t="s">
        <v>63</v>
      </c>
      <c r="S23" s="5">
        <v>50</v>
      </c>
      <c r="T23">
        <v>50</v>
      </c>
      <c r="U23">
        <v>50</v>
      </c>
      <c r="V23">
        <v>50</v>
      </c>
      <c r="W23">
        <v>50</v>
      </c>
      <c r="X23">
        <v>50</v>
      </c>
      <c r="Y23">
        <v>50</v>
      </c>
      <c r="Z23">
        <v>50</v>
      </c>
      <c r="AG23" s="6"/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40</v>
      </c>
      <c r="AO23">
        <v>40</v>
      </c>
      <c r="AV23" s="6"/>
      <c r="AW23">
        <v>2</v>
      </c>
      <c r="AX23">
        <v>2</v>
      </c>
      <c r="AY23">
        <v>2</v>
      </c>
      <c r="AZ23">
        <v>2</v>
      </c>
      <c r="BA23">
        <v>2</v>
      </c>
      <c r="BB23">
        <v>2</v>
      </c>
      <c r="BC23">
        <v>2</v>
      </c>
      <c r="BD23">
        <v>2</v>
      </c>
    </row>
    <row r="24" spans="2:60" ht="15.75" customHeight="1" x14ac:dyDescent="0.25">
      <c r="B24" t="s">
        <v>103</v>
      </c>
      <c r="C24">
        <v>455</v>
      </c>
      <c r="D24">
        <v>49.3</v>
      </c>
      <c r="E24">
        <v>41.3</v>
      </c>
      <c r="F24">
        <v>-0.27</v>
      </c>
      <c r="G24" s="3">
        <v>11.02</v>
      </c>
      <c r="H24" s="3">
        <v>11.66</v>
      </c>
      <c r="I24" s="3"/>
      <c r="J24" s="3"/>
      <c r="L24" t="s">
        <v>104</v>
      </c>
      <c r="M24">
        <v>100</v>
      </c>
      <c r="N24">
        <v>165000</v>
      </c>
      <c r="O24">
        <v>1100</v>
      </c>
      <c r="P24">
        <v>195</v>
      </c>
      <c r="Q24" s="7"/>
      <c r="R24" s="7"/>
      <c r="S24" s="13">
        <v>40</v>
      </c>
      <c r="T24" s="11">
        <v>40</v>
      </c>
      <c r="U24" s="11">
        <v>40</v>
      </c>
      <c r="V24" s="11">
        <v>40</v>
      </c>
      <c r="W24" s="11">
        <v>40</v>
      </c>
      <c r="X24" s="11">
        <v>40</v>
      </c>
      <c r="Y24" s="11">
        <v>40</v>
      </c>
      <c r="Z24" s="11">
        <v>40</v>
      </c>
      <c r="AA24" s="11">
        <v>40</v>
      </c>
      <c r="AB24" s="11">
        <v>40</v>
      </c>
      <c r="AC24" s="11"/>
      <c r="AD24" s="11"/>
      <c r="AE24" s="11"/>
      <c r="AF24" s="11"/>
      <c r="AG24" s="12"/>
      <c r="AH24" s="11">
        <v>26</v>
      </c>
      <c r="AI24" s="11">
        <v>26</v>
      </c>
      <c r="AJ24" s="11">
        <v>26</v>
      </c>
      <c r="AK24" s="11">
        <v>26</v>
      </c>
      <c r="AL24" s="11">
        <v>26</v>
      </c>
      <c r="AM24" s="11">
        <v>26</v>
      </c>
      <c r="AN24" s="11">
        <v>26</v>
      </c>
      <c r="AO24" s="11">
        <v>26</v>
      </c>
      <c r="AP24" s="11">
        <v>26</v>
      </c>
      <c r="AQ24" s="11">
        <v>26</v>
      </c>
      <c r="AR24" s="11"/>
      <c r="AS24" s="11"/>
      <c r="AT24" s="11"/>
      <c r="AU24" s="11"/>
      <c r="AV24" s="12"/>
      <c r="AW24">
        <v>2</v>
      </c>
      <c r="AX24">
        <v>2</v>
      </c>
      <c r="AY24">
        <v>2</v>
      </c>
      <c r="AZ24">
        <v>2</v>
      </c>
      <c r="BA24">
        <v>2</v>
      </c>
      <c r="BB24">
        <v>2</v>
      </c>
      <c r="BC24">
        <v>2</v>
      </c>
      <c r="BD24">
        <v>2</v>
      </c>
      <c r="BE24">
        <v>2</v>
      </c>
      <c r="BF24">
        <v>2</v>
      </c>
    </row>
    <row r="25" spans="2:60" ht="15.75" customHeight="1" x14ac:dyDescent="0.25">
      <c r="B25" t="s">
        <v>105</v>
      </c>
      <c r="C25">
        <v>535</v>
      </c>
      <c r="D25">
        <v>49</v>
      </c>
      <c r="E25">
        <v>40.799999999999997</v>
      </c>
      <c r="F25">
        <v>-0.26</v>
      </c>
      <c r="G25" s="3">
        <v>13.02</v>
      </c>
      <c r="H25" s="3">
        <v>13.85</v>
      </c>
      <c r="I25" s="3"/>
      <c r="J25" s="3"/>
      <c r="L25" t="s">
        <v>106</v>
      </c>
      <c r="M25">
        <v>110</v>
      </c>
      <c r="N25">
        <v>181500</v>
      </c>
      <c r="O25">
        <v>1100</v>
      </c>
      <c r="P25">
        <v>195</v>
      </c>
      <c r="Q25" s="4"/>
      <c r="R25" s="4"/>
      <c r="S25" s="13">
        <v>40</v>
      </c>
      <c r="T25" s="11">
        <v>40</v>
      </c>
      <c r="U25" s="11">
        <v>40</v>
      </c>
      <c r="V25" s="11">
        <v>40</v>
      </c>
      <c r="W25" s="11">
        <v>40</v>
      </c>
      <c r="X25" s="11">
        <v>40</v>
      </c>
      <c r="Y25" s="11">
        <v>40</v>
      </c>
      <c r="Z25" s="11">
        <v>40</v>
      </c>
      <c r="AA25" s="11">
        <v>40</v>
      </c>
      <c r="AB25" s="11">
        <v>40</v>
      </c>
      <c r="AC25" s="11"/>
      <c r="AD25" s="11"/>
      <c r="AE25" s="11"/>
      <c r="AF25" s="11"/>
      <c r="AG25" s="12"/>
      <c r="AH25" s="11">
        <v>26</v>
      </c>
      <c r="AI25" s="11">
        <v>26</v>
      </c>
      <c r="AJ25" s="11">
        <v>26</v>
      </c>
      <c r="AK25" s="11">
        <v>26</v>
      </c>
      <c r="AL25" s="11">
        <v>26</v>
      </c>
      <c r="AM25" s="11">
        <v>26</v>
      </c>
      <c r="AN25" s="11">
        <v>26</v>
      </c>
      <c r="AO25" s="11">
        <v>26</v>
      </c>
      <c r="AP25" s="11">
        <v>26</v>
      </c>
      <c r="AQ25" s="11">
        <v>26</v>
      </c>
      <c r="AR25" s="11"/>
      <c r="AS25" s="11"/>
      <c r="AT25" s="11"/>
      <c r="AU25" s="11"/>
      <c r="AV25" s="12"/>
      <c r="AW25">
        <v>2</v>
      </c>
      <c r="AX25">
        <v>2</v>
      </c>
      <c r="AY25">
        <v>2</v>
      </c>
      <c r="AZ25">
        <v>2</v>
      </c>
      <c r="BA25">
        <v>2</v>
      </c>
      <c r="BB25">
        <v>2</v>
      </c>
      <c r="BC25">
        <v>2</v>
      </c>
      <c r="BD25">
        <v>2</v>
      </c>
      <c r="BE25">
        <v>2</v>
      </c>
      <c r="BF25">
        <v>2</v>
      </c>
    </row>
    <row r="26" spans="2:60" ht="15.75" customHeight="1" x14ac:dyDescent="0.25">
      <c r="B26" s="14" t="s">
        <v>107</v>
      </c>
      <c r="C26">
        <v>550</v>
      </c>
      <c r="D26">
        <v>49.8</v>
      </c>
      <c r="E26">
        <v>41.93</v>
      </c>
      <c r="F26">
        <v>-0.28000000000000003</v>
      </c>
      <c r="G26" s="3">
        <v>13.12</v>
      </c>
      <c r="H26" s="3">
        <v>13.88</v>
      </c>
      <c r="I26" s="3"/>
      <c r="J26" s="3"/>
      <c r="L26" t="s">
        <v>108</v>
      </c>
      <c r="M26">
        <v>15</v>
      </c>
      <c r="N26">
        <v>24750</v>
      </c>
      <c r="O26">
        <v>1000</v>
      </c>
      <c r="P26">
        <v>180</v>
      </c>
      <c r="Q26" s="7"/>
      <c r="R26" s="7"/>
      <c r="S26" s="13">
        <v>34.299999999999997</v>
      </c>
      <c r="T26" s="11">
        <v>34.299999999999997</v>
      </c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2"/>
      <c r="AH26" s="11">
        <v>22</v>
      </c>
      <c r="AI26" s="11">
        <v>22</v>
      </c>
      <c r="AJ26" s="11"/>
      <c r="AK26" s="11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2"/>
      <c r="AW26">
        <v>2</v>
      </c>
      <c r="AX26">
        <v>2</v>
      </c>
    </row>
    <row r="27" spans="2:60" ht="15.75" customHeight="1" x14ac:dyDescent="0.25">
      <c r="B27" t="s">
        <v>109</v>
      </c>
      <c r="C27">
        <v>550</v>
      </c>
      <c r="D27">
        <v>49.6</v>
      </c>
      <c r="E27">
        <v>41.7</v>
      </c>
      <c r="F27">
        <v>-0.26</v>
      </c>
      <c r="G27" s="3"/>
      <c r="H27" s="3"/>
      <c r="I27" s="3"/>
      <c r="J27" s="3"/>
      <c r="L27" t="s">
        <v>110</v>
      </c>
      <c r="M27">
        <v>20</v>
      </c>
      <c r="N27">
        <v>33000</v>
      </c>
      <c r="O27">
        <v>1000</v>
      </c>
      <c r="P27">
        <v>180</v>
      </c>
      <c r="Q27" s="4"/>
      <c r="R27" s="4"/>
      <c r="S27" s="13">
        <v>34.299999999999997</v>
      </c>
      <c r="T27" s="11">
        <v>34.299999999999997</v>
      </c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2"/>
      <c r="AH27" s="11">
        <v>22</v>
      </c>
      <c r="AI27" s="11">
        <v>22</v>
      </c>
      <c r="AJ27" s="11"/>
      <c r="AK27" s="11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2"/>
      <c r="AW27">
        <v>2</v>
      </c>
      <c r="AX27">
        <v>2</v>
      </c>
    </row>
    <row r="28" spans="2:60" ht="15.75" customHeight="1" x14ac:dyDescent="0.25">
      <c r="B28" t="s">
        <v>111</v>
      </c>
      <c r="C28">
        <v>550</v>
      </c>
      <c r="D28">
        <v>50.2</v>
      </c>
      <c r="E28">
        <v>42.4</v>
      </c>
      <c r="F28">
        <v>-0.31</v>
      </c>
      <c r="G28" s="3">
        <v>12.97</v>
      </c>
      <c r="H28" s="3">
        <v>13.78</v>
      </c>
      <c r="I28" s="3"/>
      <c r="J28" s="3"/>
      <c r="L28" t="s">
        <v>112</v>
      </c>
      <c r="M28">
        <v>20</v>
      </c>
      <c r="N28">
        <v>30000</v>
      </c>
      <c r="O28">
        <v>1000</v>
      </c>
      <c r="P28">
        <v>350</v>
      </c>
      <c r="Q28" s="7"/>
      <c r="R28" s="7"/>
      <c r="S28" s="13">
        <v>28.1</v>
      </c>
      <c r="T28" s="11">
        <v>28.1</v>
      </c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  <c r="AF28" s="11"/>
      <c r="AG28" s="12"/>
      <c r="AH28" s="11">
        <v>20</v>
      </c>
      <c r="AI28" s="11">
        <v>20</v>
      </c>
      <c r="AJ28" s="11"/>
      <c r="AK28" s="11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2"/>
      <c r="AW28">
        <v>2</v>
      </c>
      <c r="AX28">
        <v>2</v>
      </c>
    </row>
    <row r="29" spans="2:60" ht="15.75" customHeight="1" x14ac:dyDescent="0.25">
      <c r="B29" t="s">
        <v>113</v>
      </c>
      <c r="C29" s="3">
        <v>610</v>
      </c>
      <c r="D29" s="3">
        <v>48.2</v>
      </c>
      <c r="E29" s="3">
        <v>40.9</v>
      </c>
      <c r="F29" s="3">
        <v>-0.25</v>
      </c>
      <c r="G29" s="3">
        <v>14.91</v>
      </c>
      <c r="H29" s="3">
        <v>15.88</v>
      </c>
      <c r="I29" s="3"/>
      <c r="J29" s="3"/>
      <c r="L29" t="s">
        <v>114</v>
      </c>
      <c r="M29">
        <v>250</v>
      </c>
      <c r="N29">
        <v>500000</v>
      </c>
      <c r="O29">
        <v>1500</v>
      </c>
      <c r="P29">
        <v>880</v>
      </c>
      <c r="Q29" s="4"/>
      <c r="R29" s="4"/>
      <c r="S29" s="5">
        <v>60</v>
      </c>
      <c r="T29">
        <v>60</v>
      </c>
      <c r="U29">
        <v>60</v>
      </c>
      <c r="V29">
        <v>60</v>
      </c>
      <c r="W29">
        <v>60</v>
      </c>
      <c r="X29">
        <v>60</v>
      </c>
      <c r="Y29">
        <v>60</v>
      </c>
      <c r="Z29">
        <v>60</v>
      </c>
      <c r="AA29">
        <v>60</v>
      </c>
      <c r="AB29">
        <v>60</v>
      </c>
      <c r="AC29">
        <v>60</v>
      </c>
      <c r="AD29">
        <v>60</v>
      </c>
      <c r="AG29" s="6"/>
      <c r="AH29">
        <v>40</v>
      </c>
      <c r="AI29">
        <v>40</v>
      </c>
      <c r="AJ29">
        <v>40</v>
      </c>
      <c r="AK29">
        <v>40</v>
      </c>
      <c r="AL29">
        <v>40</v>
      </c>
      <c r="AM29">
        <v>40</v>
      </c>
      <c r="AN29">
        <v>40</v>
      </c>
      <c r="AO29">
        <v>40</v>
      </c>
      <c r="AP29">
        <v>40</v>
      </c>
      <c r="AQ29">
        <v>40</v>
      </c>
      <c r="AR29">
        <v>40</v>
      </c>
      <c r="AS29">
        <v>40</v>
      </c>
      <c r="AV29" s="6"/>
      <c r="AW29">
        <v>2</v>
      </c>
      <c r="AX29">
        <v>2</v>
      </c>
      <c r="AY29">
        <v>2</v>
      </c>
      <c r="AZ29">
        <v>2</v>
      </c>
      <c r="BA29">
        <v>2</v>
      </c>
      <c r="BB29">
        <v>2</v>
      </c>
      <c r="BC29">
        <v>2</v>
      </c>
      <c r="BD29">
        <v>2</v>
      </c>
      <c r="BE29">
        <v>2</v>
      </c>
      <c r="BF29">
        <v>2</v>
      </c>
      <c r="BG29">
        <v>2</v>
      </c>
      <c r="BH29">
        <v>2</v>
      </c>
    </row>
    <row r="30" spans="2:60" ht="15.75" customHeight="1" x14ac:dyDescent="0.25">
      <c r="B30" s="3" t="s">
        <v>115</v>
      </c>
      <c r="C30" s="3">
        <v>700</v>
      </c>
      <c r="D30" s="3">
        <v>50.26</v>
      </c>
      <c r="E30" s="3">
        <v>42.14</v>
      </c>
      <c r="F30" s="3">
        <v>-0.24</v>
      </c>
      <c r="G30" s="3">
        <v>16.61</v>
      </c>
      <c r="H30" s="3">
        <v>17.39</v>
      </c>
      <c r="I30" s="3"/>
      <c r="J30" s="3"/>
      <c r="L30" t="s">
        <v>116</v>
      </c>
      <c r="M30">
        <v>25</v>
      </c>
      <c r="N30">
        <v>37500</v>
      </c>
      <c r="O30">
        <v>1100</v>
      </c>
      <c r="P30">
        <v>195</v>
      </c>
      <c r="Q30" s="7"/>
      <c r="R30" s="7"/>
      <c r="S30" s="13">
        <v>50</v>
      </c>
      <c r="T30" s="11">
        <f>S30</f>
        <v>50</v>
      </c>
      <c r="U30" s="11">
        <f>T30</f>
        <v>50</v>
      </c>
      <c r="V30" s="11">
        <f>U30</f>
        <v>50</v>
      </c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2"/>
      <c r="AH30" s="11">
        <v>32</v>
      </c>
      <c r="AI30" s="11">
        <v>32</v>
      </c>
      <c r="AJ30" s="11">
        <v>32</v>
      </c>
      <c r="AK30" s="11">
        <v>32</v>
      </c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2"/>
      <c r="AW30">
        <v>2</v>
      </c>
      <c r="AX30">
        <v>2</v>
      </c>
      <c r="AY30">
        <v>2</v>
      </c>
      <c r="AZ30">
        <v>2</v>
      </c>
    </row>
    <row r="31" spans="2:60" ht="15.75" customHeight="1" x14ac:dyDescent="0.25">
      <c r="B31" t="s">
        <v>117</v>
      </c>
      <c r="C31" s="3">
        <v>700</v>
      </c>
      <c r="D31" s="3">
        <v>49.73</v>
      </c>
      <c r="E31" s="3">
        <v>41.81</v>
      </c>
      <c r="F31" s="3">
        <v>-0.24</v>
      </c>
      <c r="G31" s="3">
        <v>16.75</v>
      </c>
      <c r="H31" s="3">
        <v>17.78</v>
      </c>
      <c r="I31" s="3"/>
      <c r="J31" s="3"/>
      <c r="L31" t="s">
        <v>118</v>
      </c>
      <c r="M31">
        <v>25</v>
      </c>
      <c r="N31">
        <v>41250</v>
      </c>
      <c r="O31">
        <v>1100</v>
      </c>
      <c r="P31">
        <v>200</v>
      </c>
      <c r="Q31" s="4"/>
      <c r="R31" s="4"/>
      <c r="S31" s="13">
        <v>40</v>
      </c>
      <c r="T31" s="11">
        <f>S31</f>
        <v>40</v>
      </c>
      <c r="U31" s="11">
        <f>T31</f>
        <v>40</v>
      </c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2"/>
      <c r="AH31" s="11">
        <v>26</v>
      </c>
      <c r="AI31" s="11">
        <v>26</v>
      </c>
      <c r="AJ31" s="11">
        <v>26</v>
      </c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2"/>
      <c r="AW31">
        <v>2</v>
      </c>
      <c r="AX31">
        <v>2</v>
      </c>
      <c r="AY31">
        <v>2</v>
      </c>
    </row>
    <row r="32" spans="2:60" ht="15.75" customHeight="1" x14ac:dyDescent="0.25">
      <c r="B32" t="s">
        <v>119</v>
      </c>
      <c r="C32">
        <v>440</v>
      </c>
      <c r="D32">
        <v>49</v>
      </c>
      <c r="E32">
        <v>41.81</v>
      </c>
      <c r="F32">
        <v>-0.31</v>
      </c>
      <c r="G32" s="3">
        <v>10.52</v>
      </c>
      <c r="H32" s="3">
        <v>11.29</v>
      </c>
      <c r="I32" s="3"/>
      <c r="J32" s="3"/>
      <c r="L32" t="s">
        <v>120</v>
      </c>
      <c r="M32">
        <v>25</v>
      </c>
      <c r="N32">
        <v>41250</v>
      </c>
      <c r="O32">
        <v>1100</v>
      </c>
      <c r="P32">
        <v>200</v>
      </c>
      <c r="Q32" s="7"/>
      <c r="R32" s="7"/>
      <c r="S32" s="13">
        <v>44.5</v>
      </c>
      <c r="T32" s="11">
        <v>44.5</v>
      </c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2"/>
      <c r="AH32" s="11">
        <v>28.5</v>
      </c>
      <c r="AI32" s="11">
        <v>28.5</v>
      </c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2"/>
      <c r="AW32">
        <v>3</v>
      </c>
      <c r="AX32">
        <v>3</v>
      </c>
    </row>
    <row r="33" spans="2:57" ht="15.75" customHeight="1" x14ac:dyDescent="0.25">
      <c r="B33" t="s">
        <v>121</v>
      </c>
      <c r="C33">
        <v>540</v>
      </c>
      <c r="D33">
        <v>49.8</v>
      </c>
      <c r="E33">
        <v>42</v>
      </c>
      <c r="F33">
        <v>-0.31</v>
      </c>
      <c r="G33" s="3">
        <v>12.86</v>
      </c>
      <c r="H33" s="3">
        <v>13.66</v>
      </c>
      <c r="I33" s="3"/>
      <c r="J33" s="3"/>
      <c r="L33" t="s">
        <v>122</v>
      </c>
      <c r="M33">
        <v>30</v>
      </c>
      <c r="N33">
        <v>45000</v>
      </c>
      <c r="O33">
        <v>1100</v>
      </c>
      <c r="P33">
        <v>195</v>
      </c>
      <c r="Q33" s="4"/>
      <c r="R33" s="4"/>
      <c r="S33" s="13">
        <v>50</v>
      </c>
      <c r="T33" s="11">
        <f>S33</f>
        <v>50</v>
      </c>
      <c r="U33" s="11">
        <f>T33</f>
        <v>50</v>
      </c>
      <c r="V33" s="11">
        <f>U33</f>
        <v>50</v>
      </c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2"/>
      <c r="AH33" s="11">
        <v>32</v>
      </c>
      <c r="AI33" s="11">
        <v>32</v>
      </c>
      <c r="AJ33" s="11">
        <v>32</v>
      </c>
      <c r="AK33" s="11">
        <v>32</v>
      </c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2"/>
      <c r="AW33">
        <v>2</v>
      </c>
      <c r="AX33">
        <v>2</v>
      </c>
      <c r="AY33">
        <v>2</v>
      </c>
      <c r="AZ33">
        <v>2</v>
      </c>
    </row>
    <row r="34" spans="2:57" ht="15.75" customHeight="1" x14ac:dyDescent="0.25">
      <c r="B34" t="s">
        <v>123</v>
      </c>
      <c r="C34">
        <v>545</v>
      </c>
      <c r="D34">
        <v>50</v>
      </c>
      <c r="E34">
        <v>42.2</v>
      </c>
      <c r="F34">
        <v>-0.31</v>
      </c>
      <c r="G34" s="3">
        <v>12.91</v>
      </c>
      <c r="H34" s="3">
        <v>13.72</v>
      </c>
      <c r="I34" s="3"/>
      <c r="J34" s="3"/>
      <c r="L34" t="s">
        <v>124</v>
      </c>
      <c r="M34">
        <v>30</v>
      </c>
      <c r="N34">
        <v>49500</v>
      </c>
      <c r="O34">
        <v>1100</v>
      </c>
      <c r="P34">
        <v>200</v>
      </c>
      <c r="Q34" s="7"/>
      <c r="R34" s="7"/>
      <c r="S34" s="13">
        <v>40</v>
      </c>
      <c r="T34" s="11">
        <v>40</v>
      </c>
      <c r="U34" s="11">
        <v>40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2"/>
      <c r="AH34" s="11">
        <v>26</v>
      </c>
      <c r="AI34" s="11">
        <v>26</v>
      </c>
      <c r="AJ34" s="11">
        <v>26</v>
      </c>
      <c r="AK34" s="11"/>
      <c r="AL34" s="11"/>
      <c r="AM34" s="11"/>
      <c r="AN34" s="11"/>
      <c r="AO34" s="11"/>
      <c r="AP34" s="11"/>
      <c r="AQ34" s="11"/>
      <c r="AR34" s="11"/>
      <c r="AS34" s="11"/>
      <c r="AT34" s="11"/>
      <c r="AU34" s="11"/>
      <c r="AV34" s="12"/>
      <c r="AW34">
        <v>2</v>
      </c>
      <c r="AX34">
        <v>2</v>
      </c>
      <c r="AY34">
        <v>2</v>
      </c>
    </row>
    <row r="35" spans="2:57" ht="15.75" customHeight="1" x14ac:dyDescent="0.25">
      <c r="B35" s="14" t="s">
        <v>125</v>
      </c>
      <c r="C35">
        <v>555</v>
      </c>
      <c r="D35">
        <v>50.4</v>
      </c>
      <c r="E35">
        <v>42.6</v>
      </c>
      <c r="F35">
        <v>-0.31</v>
      </c>
      <c r="G35" s="3">
        <v>13.03</v>
      </c>
      <c r="H35" s="3">
        <v>13.84</v>
      </c>
      <c r="I35" s="3"/>
      <c r="J35" s="3"/>
      <c r="L35" t="s">
        <v>126</v>
      </c>
      <c r="M35">
        <v>30</v>
      </c>
      <c r="N35">
        <v>45000</v>
      </c>
      <c r="O35">
        <v>1100</v>
      </c>
      <c r="P35">
        <v>200</v>
      </c>
      <c r="Q35" s="4"/>
      <c r="R35" s="4"/>
      <c r="S35" s="13">
        <v>44.5</v>
      </c>
      <c r="T35" s="11">
        <v>44.5</v>
      </c>
      <c r="U35" s="11"/>
      <c r="V35" s="11"/>
      <c r="W35" s="11"/>
      <c r="X35" s="11"/>
      <c r="Y35" s="11"/>
      <c r="Z35" s="11"/>
      <c r="AA35" s="11"/>
      <c r="AB35" s="11"/>
      <c r="AC35" s="11"/>
      <c r="AD35" s="11"/>
      <c r="AE35" s="11"/>
      <c r="AF35" s="11"/>
      <c r="AG35" s="12"/>
      <c r="AH35" s="11">
        <v>28.5</v>
      </c>
      <c r="AI35" s="11">
        <v>28.5</v>
      </c>
      <c r="AJ35" s="11"/>
      <c r="AK35" s="11"/>
      <c r="AL35" s="11"/>
      <c r="AM35" s="11"/>
      <c r="AN35" s="11"/>
      <c r="AO35" s="11"/>
      <c r="AP35" s="11"/>
      <c r="AQ35" s="11"/>
      <c r="AR35" s="11"/>
      <c r="AS35" s="11"/>
      <c r="AT35" s="11"/>
      <c r="AU35" s="11"/>
      <c r="AV35" s="12"/>
      <c r="AW35">
        <v>3</v>
      </c>
      <c r="AX35">
        <v>3</v>
      </c>
    </row>
    <row r="36" spans="2:57" ht="15.75" customHeight="1" x14ac:dyDescent="0.25">
      <c r="B36" s="14" t="s">
        <v>127</v>
      </c>
      <c r="C36">
        <v>450</v>
      </c>
      <c r="D36">
        <v>49.3</v>
      </c>
      <c r="E36">
        <v>42.1</v>
      </c>
      <c r="F36">
        <v>-0.31</v>
      </c>
      <c r="G36" s="3">
        <v>10.69</v>
      </c>
      <c r="H36" s="3">
        <v>11.35</v>
      </c>
      <c r="I36" s="3"/>
      <c r="J36" s="3"/>
      <c r="L36" t="s">
        <v>128</v>
      </c>
      <c r="M36">
        <v>3</v>
      </c>
      <c r="N36">
        <v>4500</v>
      </c>
      <c r="O36">
        <v>600</v>
      </c>
      <c r="P36">
        <v>60</v>
      </c>
      <c r="Q36" s="7"/>
      <c r="R36" s="7"/>
      <c r="S36" s="13">
        <v>15</v>
      </c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2"/>
      <c r="AH36" s="11">
        <v>12</v>
      </c>
      <c r="AI36" s="11"/>
      <c r="AJ36" s="11"/>
      <c r="AK36" s="11"/>
      <c r="AL36" s="11"/>
      <c r="AM36" s="11"/>
      <c r="AN36" s="11"/>
      <c r="AO36" s="11"/>
      <c r="AP36" s="11"/>
      <c r="AQ36" s="11"/>
      <c r="AR36" s="11"/>
      <c r="AS36" s="11"/>
      <c r="AT36" s="11"/>
      <c r="AU36" s="11"/>
      <c r="AV36" s="12"/>
      <c r="AW36">
        <v>1</v>
      </c>
    </row>
    <row r="37" spans="2:57" ht="15.75" customHeight="1" x14ac:dyDescent="0.25">
      <c r="B37" t="s">
        <v>129</v>
      </c>
      <c r="C37">
        <v>360</v>
      </c>
      <c r="D37">
        <v>47.2</v>
      </c>
      <c r="E37">
        <v>38.4</v>
      </c>
      <c r="F37">
        <v>-0.31</v>
      </c>
      <c r="G37" s="3">
        <v>9.3800000000000008</v>
      </c>
      <c r="H37" s="3">
        <v>9.7799999999999994</v>
      </c>
      <c r="I37" s="3"/>
      <c r="J37" s="3"/>
      <c r="L37" t="s">
        <v>130</v>
      </c>
      <c r="M37">
        <v>50</v>
      </c>
      <c r="N37">
        <v>82500</v>
      </c>
      <c r="O37">
        <v>1100</v>
      </c>
      <c r="P37">
        <v>439</v>
      </c>
      <c r="Q37" s="4"/>
      <c r="R37" s="4"/>
      <c r="S37" s="13">
        <v>44.5</v>
      </c>
      <c r="T37" s="11">
        <v>44.5</v>
      </c>
      <c r="U37" s="11">
        <v>44.5</v>
      </c>
      <c r="V37" s="11">
        <v>44.5</v>
      </c>
      <c r="W37" s="11"/>
      <c r="X37" s="11"/>
      <c r="Y37" s="11"/>
      <c r="Z37" s="11"/>
      <c r="AA37" s="11"/>
      <c r="AB37" s="11"/>
      <c r="AC37" s="11"/>
      <c r="AD37" s="11"/>
      <c r="AE37" s="11"/>
      <c r="AF37" s="11"/>
      <c r="AG37" s="12"/>
      <c r="AH37" s="11">
        <v>28.5</v>
      </c>
      <c r="AI37" s="11">
        <v>28.5</v>
      </c>
      <c r="AJ37" s="11">
        <v>28.5</v>
      </c>
      <c r="AK37" s="11">
        <v>28.5</v>
      </c>
      <c r="AL37" s="11"/>
      <c r="AM37" s="11"/>
      <c r="AN37" s="11"/>
      <c r="AO37" s="11"/>
      <c r="AP37" s="11"/>
      <c r="AQ37" s="11"/>
      <c r="AR37" s="11"/>
      <c r="AS37" s="11"/>
      <c r="AT37" s="11"/>
      <c r="AU37" s="11"/>
      <c r="AV37" s="12"/>
      <c r="AW37">
        <v>3</v>
      </c>
      <c r="AX37">
        <v>3</v>
      </c>
      <c r="AY37">
        <v>3</v>
      </c>
      <c r="AZ37">
        <v>3</v>
      </c>
    </row>
    <row r="38" spans="2:57" ht="15.75" customHeight="1" x14ac:dyDescent="0.25">
      <c r="B38" t="s">
        <v>131</v>
      </c>
      <c r="C38">
        <v>400</v>
      </c>
      <c r="D38">
        <v>51.4</v>
      </c>
      <c r="E38">
        <v>42</v>
      </c>
      <c r="F38">
        <v>-0.31</v>
      </c>
      <c r="G38" s="3">
        <v>9.35</v>
      </c>
      <c r="H38" s="3">
        <v>9.8699999999999992</v>
      </c>
      <c r="I38" s="3"/>
      <c r="J38" s="3"/>
      <c r="L38" t="s">
        <v>132</v>
      </c>
      <c r="M38">
        <v>5</v>
      </c>
      <c r="N38">
        <v>8250</v>
      </c>
      <c r="O38">
        <v>600</v>
      </c>
      <c r="P38">
        <v>110</v>
      </c>
      <c r="Q38" s="7"/>
      <c r="R38" s="7"/>
      <c r="S38" s="13">
        <v>15</v>
      </c>
      <c r="T38" s="11">
        <v>15</v>
      </c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2"/>
      <c r="AH38" s="11">
        <v>12</v>
      </c>
      <c r="AI38" s="11">
        <v>12</v>
      </c>
      <c r="AJ38" s="11"/>
      <c r="AK38" s="11"/>
      <c r="AL38" s="11"/>
      <c r="AM38" s="11"/>
      <c r="AN38" s="11"/>
      <c r="AO38" s="11"/>
      <c r="AP38" s="11"/>
      <c r="AQ38" s="11"/>
      <c r="AR38" s="11"/>
      <c r="AS38" s="11"/>
      <c r="AT38" s="11"/>
      <c r="AU38" s="11"/>
      <c r="AV38" s="12"/>
      <c r="AW38">
        <v>1</v>
      </c>
      <c r="AX38">
        <v>1</v>
      </c>
    </row>
    <row r="39" spans="2:57" ht="15.75" customHeight="1" x14ac:dyDescent="0.25">
      <c r="B39" s="14" t="s">
        <v>133</v>
      </c>
      <c r="C39">
        <v>560</v>
      </c>
      <c r="D39">
        <v>50.19</v>
      </c>
      <c r="E39">
        <v>41.8</v>
      </c>
      <c r="F39">
        <v>-0.246</v>
      </c>
      <c r="G39" s="3">
        <v>13.4</v>
      </c>
      <c r="H39" s="3">
        <v>14.25</v>
      </c>
      <c r="I39" s="3"/>
      <c r="J39" s="3"/>
      <c r="L39" t="s">
        <v>134</v>
      </c>
      <c r="M39">
        <v>5</v>
      </c>
      <c r="N39">
        <v>8250</v>
      </c>
      <c r="O39">
        <v>600</v>
      </c>
      <c r="P39">
        <v>110</v>
      </c>
      <c r="Q39" s="4"/>
      <c r="R39" s="4"/>
      <c r="S39" s="13">
        <v>15</v>
      </c>
      <c r="T39" s="11">
        <f>S39</f>
        <v>15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2"/>
      <c r="AH39" s="11">
        <v>12</v>
      </c>
      <c r="AI39" s="11">
        <v>12</v>
      </c>
      <c r="AJ39" s="11"/>
      <c r="AK39" s="11"/>
      <c r="AL39" s="11"/>
      <c r="AM39" s="11"/>
      <c r="AN39" s="11"/>
      <c r="AO39" s="11"/>
      <c r="AP39" s="11"/>
      <c r="AQ39" s="11"/>
      <c r="AR39" s="11"/>
      <c r="AS39" s="11"/>
      <c r="AT39" s="11"/>
      <c r="AU39" s="11"/>
      <c r="AV39" s="12"/>
      <c r="AW39">
        <v>1</v>
      </c>
      <c r="AX39">
        <v>1</v>
      </c>
    </row>
    <row r="40" spans="2:57" ht="15.75" customHeight="1" x14ac:dyDescent="0.25">
      <c r="B40" s="14" t="s">
        <v>135</v>
      </c>
      <c r="C40">
        <v>585</v>
      </c>
      <c r="D40">
        <v>52.7</v>
      </c>
      <c r="E40">
        <v>44.04</v>
      </c>
      <c r="F40">
        <v>-0.25</v>
      </c>
      <c r="G40" s="3">
        <v>13.3</v>
      </c>
      <c r="H40" s="3">
        <v>14.05</v>
      </c>
      <c r="I40" s="3"/>
      <c r="J40" s="3"/>
      <c r="L40" t="s">
        <v>136</v>
      </c>
      <c r="M40">
        <v>5</v>
      </c>
      <c r="N40">
        <v>8250</v>
      </c>
      <c r="O40">
        <v>600</v>
      </c>
      <c r="P40">
        <v>110</v>
      </c>
      <c r="Q40" s="7"/>
      <c r="R40" s="7"/>
      <c r="S40" s="13">
        <v>15</v>
      </c>
      <c r="T40" s="11">
        <v>15</v>
      </c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/>
      <c r="AG40" s="12"/>
      <c r="AH40" s="11">
        <v>12</v>
      </c>
      <c r="AI40" s="11">
        <v>12</v>
      </c>
      <c r="AJ40" s="11"/>
      <c r="AK40" s="11"/>
      <c r="AL40" s="11"/>
      <c r="AM40" s="11"/>
      <c r="AN40" s="11"/>
      <c r="AO40" s="11"/>
      <c r="AP40" s="11"/>
      <c r="AQ40" s="11"/>
      <c r="AR40" s="11"/>
      <c r="AS40" s="11"/>
      <c r="AT40" s="11"/>
      <c r="AU40" s="11"/>
      <c r="AV40" s="12"/>
      <c r="AW40">
        <v>1</v>
      </c>
      <c r="AX40">
        <v>1</v>
      </c>
    </row>
    <row r="41" spans="2:57" ht="15.75" customHeight="1" x14ac:dyDescent="0.25">
      <c r="B41" t="s">
        <v>137</v>
      </c>
      <c r="C41" s="3">
        <v>610</v>
      </c>
      <c r="D41" s="3">
        <v>48.74</v>
      </c>
      <c r="E41" s="3">
        <v>40.56</v>
      </c>
      <c r="F41" s="3">
        <v>-0.24</v>
      </c>
      <c r="G41" s="3">
        <v>15.04</v>
      </c>
      <c r="H41" s="3">
        <v>15.93</v>
      </c>
      <c r="I41" s="3"/>
      <c r="J41" s="3"/>
      <c r="L41" t="s">
        <v>138</v>
      </c>
      <c r="M41">
        <v>60</v>
      </c>
      <c r="N41">
        <v>72000</v>
      </c>
      <c r="O41">
        <v>1100</v>
      </c>
      <c r="P41">
        <v>526</v>
      </c>
      <c r="Q41" s="4"/>
      <c r="R41" s="4"/>
      <c r="S41" s="13">
        <v>44.5</v>
      </c>
      <c r="T41" s="11">
        <v>44.5</v>
      </c>
      <c r="U41" s="11">
        <v>44.5</v>
      </c>
      <c r="V41" s="11">
        <v>44.5</v>
      </c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2"/>
      <c r="AH41" s="11">
        <v>28.5</v>
      </c>
      <c r="AI41" s="11">
        <v>28.5</v>
      </c>
      <c r="AJ41" s="11">
        <v>28.5</v>
      </c>
      <c r="AK41" s="11">
        <v>28.5</v>
      </c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2"/>
      <c r="AW41">
        <v>2</v>
      </c>
      <c r="AX41">
        <v>2</v>
      </c>
      <c r="AY41">
        <v>2</v>
      </c>
      <c r="AZ41">
        <v>2</v>
      </c>
    </row>
    <row r="42" spans="2:57" ht="15.75" customHeight="1" x14ac:dyDescent="0.25">
      <c r="B42" t="s">
        <v>139</v>
      </c>
      <c r="C42">
        <v>590</v>
      </c>
      <c r="D42">
        <v>52.9</v>
      </c>
      <c r="E42">
        <v>44.15</v>
      </c>
      <c r="F42">
        <v>-0.25900000000000001</v>
      </c>
      <c r="G42">
        <v>13.37</v>
      </c>
      <c r="H42">
        <v>14.03</v>
      </c>
      <c r="L42" t="s">
        <v>140</v>
      </c>
      <c r="M42">
        <v>75</v>
      </c>
      <c r="N42">
        <v>126000</v>
      </c>
      <c r="O42">
        <v>1100</v>
      </c>
      <c r="P42">
        <v>195</v>
      </c>
      <c r="Q42" s="15"/>
      <c r="R42" s="15"/>
      <c r="S42" s="13">
        <v>40</v>
      </c>
      <c r="T42" s="11">
        <v>40</v>
      </c>
      <c r="U42" s="11">
        <v>40</v>
      </c>
      <c r="V42" s="11">
        <v>40</v>
      </c>
      <c r="W42" s="11">
        <v>40</v>
      </c>
      <c r="X42" s="11">
        <v>40</v>
      </c>
      <c r="Y42" s="11">
        <v>40</v>
      </c>
      <c r="Z42" s="11">
        <v>40</v>
      </c>
      <c r="AA42" s="11">
        <v>40</v>
      </c>
      <c r="AB42" s="11"/>
      <c r="AC42" s="11"/>
      <c r="AD42" s="11"/>
      <c r="AE42" s="11"/>
      <c r="AF42" s="11"/>
      <c r="AG42" s="12"/>
      <c r="AH42" s="11">
        <v>26</v>
      </c>
      <c r="AI42" s="11">
        <v>26</v>
      </c>
      <c r="AJ42" s="11">
        <v>26</v>
      </c>
      <c r="AK42" s="11">
        <v>26</v>
      </c>
      <c r="AL42" s="11">
        <v>26</v>
      </c>
      <c r="AM42" s="11">
        <v>26</v>
      </c>
      <c r="AN42" s="11">
        <v>26</v>
      </c>
      <c r="AO42" s="11">
        <v>26</v>
      </c>
      <c r="AP42" s="11">
        <v>26</v>
      </c>
      <c r="AQ42" s="11">
        <v>26</v>
      </c>
      <c r="AR42" s="11"/>
      <c r="AS42" s="11"/>
      <c r="AT42" s="11"/>
      <c r="AU42" s="11"/>
      <c r="AV42" s="12"/>
      <c r="AW42">
        <v>2</v>
      </c>
      <c r="AX42">
        <v>2</v>
      </c>
      <c r="AY42">
        <v>2</v>
      </c>
      <c r="AZ42">
        <v>2</v>
      </c>
      <c r="BA42">
        <v>2</v>
      </c>
      <c r="BB42">
        <v>2</v>
      </c>
      <c r="BC42">
        <v>2</v>
      </c>
      <c r="BD42">
        <v>2</v>
      </c>
      <c r="BE42">
        <v>2</v>
      </c>
    </row>
    <row r="43" spans="2:57" ht="15.75" customHeight="1" x14ac:dyDescent="0.25">
      <c r="B43" t="s">
        <v>141</v>
      </c>
      <c r="C43">
        <v>375</v>
      </c>
      <c r="D43">
        <v>47.43</v>
      </c>
      <c r="E43">
        <v>38.869999999999997</v>
      </c>
      <c r="F43">
        <v>-0.3</v>
      </c>
      <c r="G43" s="3"/>
      <c r="H43" s="3"/>
      <c r="I43" s="3"/>
      <c r="J43" s="3"/>
      <c r="L43" t="s">
        <v>142</v>
      </c>
      <c r="M43">
        <v>7</v>
      </c>
      <c r="N43">
        <v>11550</v>
      </c>
      <c r="O43">
        <v>600</v>
      </c>
      <c r="P43">
        <v>120</v>
      </c>
      <c r="Q43" s="4"/>
      <c r="R43" s="4"/>
      <c r="S43" s="13">
        <v>15</v>
      </c>
      <c r="T43" s="11">
        <v>30</v>
      </c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2"/>
      <c r="AH43" s="11">
        <v>12.5</v>
      </c>
      <c r="AI43" s="11">
        <v>25</v>
      </c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2"/>
      <c r="AW43">
        <v>1</v>
      </c>
      <c r="AX43">
        <v>2</v>
      </c>
    </row>
    <row r="44" spans="2:57" ht="15.75" customHeight="1" x14ac:dyDescent="0.25">
      <c r="B44" t="s">
        <v>143</v>
      </c>
      <c r="C44">
        <v>400</v>
      </c>
      <c r="D44">
        <v>48.93</v>
      </c>
      <c r="E44">
        <v>40.61</v>
      </c>
      <c r="F44">
        <v>-0.3</v>
      </c>
      <c r="G44" s="3">
        <v>9.85</v>
      </c>
      <c r="H44" s="3">
        <v>10.36</v>
      </c>
      <c r="I44" s="3"/>
      <c r="J44" s="3"/>
      <c r="L44" t="s">
        <v>144</v>
      </c>
      <c r="M44">
        <v>7</v>
      </c>
      <c r="N44">
        <v>11550</v>
      </c>
      <c r="O44">
        <v>600</v>
      </c>
      <c r="P44">
        <v>120</v>
      </c>
      <c r="Q44" s="7"/>
      <c r="R44" s="7"/>
      <c r="S44" s="13">
        <v>15</v>
      </c>
      <c r="T44" s="11">
        <v>30</v>
      </c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2"/>
      <c r="AH44" s="11">
        <v>12.5</v>
      </c>
      <c r="AI44" s="11">
        <v>25</v>
      </c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2"/>
      <c r="AW44">
        <v>1</v>
      </c>
      <c r="AX44">
        <v>2</v>
      </c>
    </row>
    <row r="45" spans="2:57" ht="15.75" customHeight="1" x14ac:dyDescent="0.25">
      <c r="B45" t="s">
        <v>145</v>
      </c>
      <c r="C45" s="3">
        <v>700</v>
      </c>
      <c r="D45" s="3">
        <v>50.42</v>
      </c>
      <c r="E45" s="3">
        <v>42.41</v>
      </c>
      <c r="F45" s="3">
        <v>-0.24</v>
      </c>
      <c r="G45" s="3">
        <v>16.510000000000002</v>
      </c>
      <c r="H45" s="3">
        <v>17.63</v>
      </c>
      <c r="I45" s="3"/>
      <c r="J45" s="3"/>
      <c r="L45" t="s">
        <v>146</v>
      </c>
      <c r="M45">
        <v>8</v>
      </c>
      <c r="N45">
        <v>13200</v>
      </c>
      <c r="O45">
        <v>600</v>
      </c>
      <c r="P45">
        <v>120</v>
      </c>
      <c r="Q45" s="4"/>
      <c r="R45" s="4"/>
      <c r="S45" s="13">
        <v>15.6</v>
      </c>
      <c r="T45" s="11">
        <v>15.6</v>
      </c>
      <c r="U45" s="11">
        <v>15.6</v>
      </c>
      <c r="V45" s="11"/>
      <c r="W45" s="11"/>
      <c r="X45" s="11"/>
      <c r="Y45" s="11"/>
      <c r="Z45" s="11"/>
      <c r="AA45" s="11"/>
      <c r="AB45" s="11"/>
      <c r="AC45" s="11"/>
      <c r="AD45" s="11"/>
      <c r="AE45" s="11"/>
      <c r="AF45" s="11"/>
      <c r="AG45" s="12"/>
      <c r="AH45" s="11">
        <v>10</v>
      </c>
      <c r="AI45" s="11">
        <v>10</v>
      </c>
      <c r="AJ45" s="11">
        <v>10</v>
      </c>
      <c r="AK45" s="11"/>
      <c r="AL45" s="11"/>
      <c r="AM45" s="11"/>
      <c r="AN45" s="11"/>
      <c r="AO45" s="11"/>
      <c r="AP45" s="11"/>
      <c r="AQ45" s="11"/>
      <c r="AR45" s="11"/>
      <c r="AS45" s="11"/>
      <c r="AT45" s="11"/>
      <c r="AU45" s="11"/>
      <c r="AV45" s="12"/>
      <c r="AW45">
        <v>1</v>
      </c>
      <c r="AX45">
        <v>1</v>
      </c>
      <c r="AY45">
        <v>1</v>
      </c>
    </row>
    <row r="46" spans="2:57" ht="15.75" customHeight="1" x14ac:dyDescent="0.25">
      <c r="B46" t="s">
        <v>147</v>
      </c>
      <c r="C46" s="3">
        <v>570</v>
      </c>
      <c r="D46" s="3">
        <v>51.07</v>
      </c>
      <c r="E46" s="3">
        <v>42.29</v>
      </c>
      <c r="F46" s="3">
        <v>-0.25</v>
      </c>
      <c r="G46" s="3">
        <v>13.48</v>
      </c>
      <c r="H46" s="3">
        <v>14.25</v>
      </c>
      <c r="I46" s="3"/>
      <c r="J46" s="3"/>
      <c r="L46" t="s">
        <v>148</v>
      </c>
      <c r="M46">
        <v>9</v>
      </c>
      <c r="N46">
        <v>13500</v>
      </c>
      <c r="O46">
        <v>600</v>
      </c>
      <c r="P46">
        <v>120</v>
      </c>
      <c r="Q46" s="7"/>
      <c r="R46" s="7"/>
      <c r="S46" s="13">
        <v>15</v>
      </c>
      <c r="T46" s="11">
        <v>30</v>
      </c>
      <c r="U46" s="11"/>
      <c r="V46" s="11"/>
      <c r="W46" s="11"/>
      <c r="X46" s="11"/>
      <c r="Y46" s="11"/>
      <c r="Z46" s="11"/>
      <c r="AA46" s="11"/>
      <c r="AB46" s="11"/>
      <c r="AC46" s="11"/>
      <c r="AD46" s="11"/>
      <c r="AE46" s="11"/>
      <c r="AF46" s="11"/>
      <c r="AG46" s="12"/>
      <c r="AH46" s="11">
        <v>12.5</v>
      </c>
      <c r="AI46" s="11">
        <v>25</v>
      </c>
      <c r="AJ46" s="11"/>
      <c r="AK46" s="11"/>
      <c r="AL46" s="11"/>
      <c r="AM46" s="11"/>
      <c r="AN46" s="11"/>
      <c r="AO46" s="11"/>
      <c r="AP46" s="11"/>
      <c r="AQ46" s="11"/>
      <c r="AR46" s="11"/>
      <c r="AS46" s="11"/>
      <c r="AT46" s="11"/>
      <c r="AU46" s="11"/>
      <c r="AV46" s="12"/>
      <c r="AW46">
        <v>1</v>
      </c>
      <c r="AX46">
        <v>2</v>
      </c>
    </row>
    <row r="47" spans="2:57" ht="15.75" customHeight="1" x14ac:dyDescent="0.25">
      <c r="B47" t="s">
        <v>149</v>
      </c>
      <c r="C47" s="3">
        <v>585</v>
      </c>
      <c r="D47">
        <v>51.67</v>
      </c>
      <c r="E47" s="3">
        <v>42.74</v>
      </c>
      <c r="F47" s="3">
        <v>-0.25</v>
      </c>
      <c r="G47" s="3">
        <v>13.69</v>
      </c>
      <c r="H47" s="3">
        <v>14.43</v>
      </c>
      <c r="I47" s="3"/>
      <c r="J47" s="3"/>
      <c r="L47" t="s">
        <v>150</v>
      </c>
      <c r="M47">
        <v>3.6</v>
      </c>
      <c r="N47">
        <v>5500</v>
      </c>
      <c r="O47">
        <v>600</v>
      </c>
      <c r="P47">
        <v>100</v>
      </c>
      <c r="Q47" s="4"/>
      <c r="R47" s="4"/>
      <c r="S47" s="13">
        <v>16.3</v>
      </c>
      <c r="T47" s="11">
        <v>16.3</v>
      </c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2"/>
      <c r="AH47" s="11">
        <v>13</v>
      </c>
      <c r="AI47" s="11">
        <v>13</v>
      </c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2"/>
      <c r="AW47">
        <v>1</v>
      </c>
      <c r="AX47">
        <v>1</v>
      </c>
    </row>
    <row r="48" spans="2:57" ht="15.75" customHeight="1" x14ac:dyDescent="0.25">
      <c r="B48" t="s">
        <v>151</v>
      </c>
      <c r="C48">
        <v>590</v>
      </c>
      <c r="D48">
        <v>52.49</v>
      </c>
      <c r="E48">
        <v>44.21</v>
      </c>
      <c r="F48">
        <v>-0.25</v>
      </c>
      <c r="G48">
        <v>13.35</v>
      </c>
      <c r="H48">
        <v>14.05</v>
      </c>
      <c r="L48" t="s">
        <v>152</v>
      </c>
      <c r="M48">
        <v>5</v>
      </c>
      <c r="N48">
        <v>7500</v>
      </c>
      <c r="O48">
        <v>600</v>
      </c>
      <c r="P48">
        <v>100</v>
      </c>
      <c r="Q48" s="15"/>
      <c r="R48" s="15"/>
      <c r="S48" s="13">
        <v>16.3</v>
      </c>
      <c r="T48" s="11">
        <v>16.3</v>
      </c>
      <c r="U48" s="11"/>
      <c r="V48" s="11"/>
      <c r="W48" s="11"/>
      <c r="X48" s="11"/>
      <c r="Y48" s="11"/>
      <c r="Z48" s="11"/>
      <c r="AA48" s="11"/>
      <c r="AB48" s="11"/>
      <c r="AC48" s="11"/>
      <c r="AD48" s="11"/>
      <c r="AE48" s="11"/>
      <c r="AF48" s="11"/>
      <c r="AG48" s="12"/>
      <c r="AH48" s="11">
        <v>13</v>
      </c>
      <c r="AI48" s="11">
        <v>13</v>
      </c>
      <c r="AJ48" s="11"/>
      <c r="AK48" s="11"/>
      <c r="AL48" s="11"/>
      <c r="AM48" s="11"/>
      <c r="AN48" s="11"/>
      <c r="AO48" s="11"/>
      <c r="AP48" s="11"/>
      <c r="AQ48" s="11"/>
      <c r="AR48" s="11"/>
      <c r="AS48" s="11"/>
      <c r="AT48" s="11"/>
      <c r="AU48" s="11"/>
      <c r="AV48" s="12"/>
      <c r="AW48">
        <v>1</v>
      </c>
      <c r="AX48">
        <v>1</v>
      </c>
    </row>
    <row r="49" spans="2:58" ht="15.75" customHeight="1" x14ac:dyDescent="0.25">
      <c r="B49" t="s">
        <v>153</v>
      </c>
      <c r="C49" s="3">
        <v>585</v>
      </c>
      <c r="D49" s="3">
        <v>51.6</v>
      </c>
      <c r="E49" s="3">
        <v>43.4</v>
      </c>
      <c r="F49" s="3">
        <v>-0.26</v>
      </c>
      <c r="G49" s="3">
        <v>13.48</v>
      </c>
      <c r="H49" s="3">
        <v>14.29</v>
      </c>
      <c r="I49" s="3"/>
      <c r="J49" s="3"/>
      <c r="L49" t="s">
        <v>154</v>
      </c>
      <c r="M49">
        <v>7</v>
      </c>
      <c r="N49">
        <v>13500</v>
      </c>
      <c r="O49">
        <v>600</v>
      </c>
      <c r="P49">
        <v>120</v>
      </c>
      <c r="Q49" s="4"/>
      <c r="R49" s="4"/>
      <c r="S49" s="13">
        <v>16.3</v>
      </c>
      <c r="T49" s="11">
        <v>16.3</v>
      </c>
      <c r="U49" s="11">
        <v>16.3</v>
      </c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2"/>
      <c r="AH49" s="11">
        <v>13</v>
      </c>
      <c r="AI49" s="11">
        <v>13</v>
      </c>
      <c r="AJ49" s="11">
        <v>13</v>
      </c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2"/>
      <c r="AW49">
        <v>1</v>
      </c>
      <c r="AX49">
        <v>1</v>
      </c>
      <c r="AY49">
        <v>1</v>
      </c>
    </row>
    <row r="50" spans="2:58" ht="15.75" customHeight="1" x14ac:dyDescent="0.25">
      <c r="B50" t="s">
        <v>155</v>
      </c>
      <c r="C50">
        <v>610</v>
      </c>
      <c r="D50">
        <v>48.72</v>
      </c>
      <c r="E50">
        <v>40.590000000000003</v>
      </c>
      <c r="F50">
        <v>-0.23</v>
      </c>
      <c r="G50">
        <v>15.03</v>
      </c>
      <c r="H50">
        <v>15.94</v>
      </c>
      <c r="L50" t="s">
        <v>156</v>
      </c>
      <c r="M50">
        <v>9</v>
      </c>
      <c r="N50">
        <v>13500</v>
      </c>
      <c r="O50">
        <v>600</v>
      </c>
      <c r="P50">
        <v>120</v>
      </c>
      <c r="Q50" s="15"/>
      <c r="R50" s="15"/>
      <c r="S50" s="13">
        <v>16.3</v>
      </c>
      <c r="T50" s="11">
        <v>16.3</v>
      </c>
      <c r="U50" s="11">
        <v>16.3</v>
      </c>
      <c r="V50" s="11"/>
      <c r="W50" s="11"/>
      <c r="X50" s="11"/>
      <c r="Y50" s="11"/>
      <c r="Z50" s="11"/>
      <c r="AA50" s="11"/>
      <c r="AB50" s="11"/>
      <c r="AC50" s="11"/>
      <c r="AD50" s="11"/>
      <c r="AE50" s="11"/>
      <c r="AF50" s="11"/>
      <c r="AG50" s="12"/>
      <c r="AH50" s="11">
        <v>13</v>
      </c>
      <c r="AI50" s="11">
        <v>13</v>
      </c>
      <c r="AJ50" s="11">
        <v>13</v>
      </c>
      <c r="AK50" s="11"/>
      <c r="AL50" s="11"/>
      <c r="AM50" s="11"/>
      <c r="AN50" s="11"/>
      <c r="AO50" s="11"/>
      <c r="AP50" s="11"/>
      <c r="AQ50" s="11"/>
      <c r="AR50" s="11"/>
      <c r="AS50" s="11"/>
      <c r="AT50" s="11"/>
      <c r="AU50" s="11"/>
      <c r="AV50" s="12"/>
      <c r="AW50">
        <v>1</v>
      </c>
      <c r="AX50">
        <v>1</v>
      </c>
      <c r="AY50">
        <v>1</v>
      </c>
    </row>
    <row r="51" spans="2:58" ht="15.75" customHeight="1" x14ac:dyDescent="0.25">
      <c r="B51" t="s">
        <v>157</v>
      </c>
      <c r="C51" s="3">
        <v>670</v>
      </c>
      <c r="D51" s="3">
        <v>45.8</v>
      </c>
      <c r="E51" s="3">
        <v>38.700000000000003</v>
      </c>
      <c r="F51" s="3">
        <v>-0.27400000000000002</v>
      </c>
      <c r="G51" s="3">
        <v>17.32</v>
      </c>
      <c r="H51" s="3">
        <v>18.55</v>
      </c>
      <c r="I51" s="3"/>
      <c r="J51" s="3"/>
      <c r="L51" t="s">
        <v>158</v>
      </c>
      <c r="M51">
        <v>8</v>
      </c>
      <c r="N51">
        <v>10560</v>
      </c>
      <c r="O51">
        <v>550</v>
      </c>
      <c r="P51">
        <v>100</v>
      </c>
      <c r="Q51" s="4"/>
      <c r="R51" s="4"/>
      <c r="S51" s="13">
        <v>32</v>
      </c>
      <c r="T51" s="11">
        <v>16</v>
      </c>
      <c r="U51" s="11"/>
      <c r="V51" s="11"/>
      <c r="W51" s="11"/>
      <c r="X51" s="11"/>
      <c r="Y51" s="11"/>
      <c r="Z51" s="11"/>
      <c r="AA51" s="11"/>
      <c r="AB51" s="11"/>
      <c r="AC51" s="11"/>
      <c r="AD51" s="11"/>
      <c r="AE51" s="11"/>
      <c r="AF51" s="11"/>
      <c r="AG51" s="12"/>
      <c r="AH51" s="11">
        <v>25</v>
      </c>
      <c r="AI51" s="11">
        <v>12.5</v>
      </c>
      <c r="AJ51" s="11"/>
      <c r="AK51" s="11"/>
      <c r="AL51" s="11"/>
      <c r="AM51" s="11"/>
      <c r="AN51" s="11"/>
      <c r="AO51" s="11"/>
      <c r="AP51" s="11"/>
      <c r="AQ51" s="11"/>
      <c r="AR51" s="11"/>
      <c r="AS51" s="11"/>
      <c r="AT51" s="11"/>
      <c r="AU51" s="11"/>
      <c r="AV51" s="12"/>
      <c r="AW51">
        <v>2</v>
      </c>
      <c r="AX51">
        <v>1</v>
      </c>
    </row>
    <row r="52" spans="2:58" ht="15.75" customHeight="1" x14ac:dyDescent="0.25">
      <c r="B52" t="s">
        <v>159</v>
      </c>
      <c r="C52" s="3">
        <v>690</v>
      </c>
      <c r="D52" s="3">
        <v>47.8</v>
      </c>
      <c r="E52" s="3">
        <v>40</v>
      </c>
      <c r="F52" s="3">
        <v>-0.23</v>
      </c>
      <c r="G52" s="3">
        <v>17.25</v>
      </c>
      <c r="H52" s="3">
        <v>18.260000000000002</v>
      </c>
      <c r="I52" s="3"/>
      <c r="J52" s="3"/>
      <c r="L52" t="s">
        <v>160</v>
      </c>
      <c r="M52">
        <v>17</v>
      </c>
      <c r="N52">
        <v>25500</v>
      </c>
      <c r="O52">
        <v>1100</v>
      </c>
      <c r="P52">
        <v>250</v>
      </c>
      <c r="Q52" s="7"/>
      <c r="R52" s="7"/>
      <c r="S52" s="13">
        <v>32</v>
      </c>
      <c r="T52" s="11">
        <v>32</v>
      </c>
      <c r="U52" s="11"/>
      <c r="V52" s="11"/>
      <c r="W52" s="11"/>
      <c r="X52" s="11"/>
      <c r="Y52" s="11"/>
      <c r="Z52" s="11"/>
      <c r="AA52" s="11"/>
      <c r="AB52" s="11"/>
      <c r="AC52" s="11"/>
      <c r="AD52" s="11"/>
      <c r="AE52" s="11"/>
      <c r="AF52" s="11"/>
      <c r="AG52" s="12"/>
      <c r="AH52" s="11">
        <v>25</v>
      </c>
      <c r="AI52" s="11">
        <v>25</v>
      </c>
      <c r="AJ52" s="11"/>
      <c r="AK52" s="11"/>
      <c r="AL52" s="11"/>
      <c r="AM52" s="11"/>
      <c r="AN52" s="11"/>
      <c r="AO52" s="11"/>
      <c r="AP52" s="11"/>
      <c r="AQ52" s="11"/>
      <c r="AR52" s="11"/>
      <c r="AS52" s="11"/>
      <c r="AT52" s="11"/>
      <c r="AU52" s="11"/>
      <c r="AV52" s="12"/>
      <c r="AW52">
        <v>2</v>
      </c>
      <c r="AX52">
        <v>2</v>
      </c>
    </row>
    <row r="53" spans="2:58" ht="15.75" customHeight="1" x14ac:dyDescent="0.25">
      <c r="B53" t="s">
        <v>161</v>
      </c>
      <c r="C53" s="3">
        <v>700</v>
      </c>
      <c r="D53" s="3">
        <v>49.77</v>
      </c>
      <c r="E53" s="3">
        <v>41.78</v>
      </c>
      <c r="F53" s="3">
        <v>-0.22</v>
      </c>
      <c r="G53" s="3">
        <v>16.760000000000002</v>
      </c>
      <c r="H53" s="3">
        <v>17.809999999999999</v>
      </c>
      <c r="I53" s="3"/>
      <c r="J53" s="3"/>
      <c r="L53" t="s">
        <v>162</v>
      </c>
      <c r="M53">
        <v>25</v>
      </c>
      <c r="N53">
        <v>37500</v>
      </c>
      <c r="O53">
        <v>1100</v>
      </c>
      <c r="P53">
        <v>250</v>
      </c>
      <c r="Q53" s="4"/>
      <c r="R53" s="4"/>
      <c r="S53" s="13">
        <v>32</v>
      </c>
      <c r="T53" s="11">
        <v>48</v>
      </c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2"/>
      <c r="AH53" s="11">
        <v>25</v>
      </c>
      <c r="AI53" s="11">
        <v>37.5</v>
      </c>
      <c r="AJ53" s="11"/>
      <c r="AK53" s="11"/>
      <c r="AL53" s="11"/>
      <c r="AM53" s="11"/>
      <c r="AN53" s="11"/>
      <c r="AO53" s="11"/>
      <c r="AP53" s="11"/>
      <c r="AQ53" s="11"/>
      <c r="AR53" s="11"/>
      <c r="AS53" s="11"/>
      <c r="AT53" s="11"/>
      <c r="AU53" s="11"/>
      <c r="AV53" s="12"/>
      <c r="AW53">
        <v>2</v>
      </c>
      <c r="AX53">
        <v>3</v>
      </c>
    </row>
    <row r="54" spans="2:58" ht="15.75" customHeight="1" x14ac:dyDescent="0.25">
      <c r="B54" t="s">
        <v>163</v>
      </c>
      <c r="C54" s="3">
        <v>700</v>
      </c>
      <c r="D54" s="3">
        <v>48.2</v>
      </c>
      <c r="E54" s="3">
        <v>40.4</v>
      </c>
      <c r="F54" s="3">
        <v>-0.23</v>
      </c>
      <c r="G54" s="3">
        <v>17.329999999999998</v>
      </c>
      <c r="H54" s="3">
        <v>18.34</v>
      </c>
      <c r="I54" s="3"/>
      <c r="J54" s="3"/>
      <c r="L54" t="s">
        <v>164</v>
      </c>
      <c r="M54">
        <v>4.2</v>
      </c>
      <c r="N54">
        <v>5880</v>
      </c>
      <c r="O54">
        <v>550</v>
      </c>
      <c r="P54">
        <v>100</v>
      </c>
      <c r="Q54" s="7"/>
      <c r="R54" s="7"/>
      <c r="S54" s="13">
        <v>16</v>
      </c>
      <c r="T54" s="11">
        <v>16</v>
      </c>
      <c r="U54" s="11"/>
      <c r="V54" s="11"/>
      <c r="W54" s="11"/>
      <c r="X54" s="11"/>
      <c r="Y54" s="11"/>
      <c r="Z54" s="11"/>
      <c r="AA54" s="11"/>
      <c r="AB54" s="11"/>
      <c r="AC54" s="11"/>
      <c r="AD54" s="11"/>
      <c r="AE54" s="11"/>
      <c r="AF54" s="11"/>
      <c r="AG54" s="12"/>
      <c r="AH54" s="11">
        <v>12.5</v>
      </c>
      <c r="AI54" s="11">
        <v>12.5</v>
      </c>
      <c r="AJ54" s="11"/>
      <c r="AK54" s="11"/>
      <c r="AL54" s="11"/>
      <c r="AM54" s="11"/>
      <c r="AN54" s="11"/>
      <c r="AO54" s="11"/>
      <c r="AP54" s="11"/>
      <c r="AQ54" s="11"/>
      <c r="AR54" s="11"/>
      <c r="AS54" s="11"/>
      <c r="AT54" s="11"/>
      <c r="AU54" s="11"/>
      <c r="AV54" s="12"/>
      <c r="AW54">
        <v>1</v>
      </c>
      <c r="AX54">
        <v>1</v>
      </c>
    </row>
    <row r="55" spans="2:58" ht="15.75" customHeight="1" x14ac:dyDescent="0.25">
      <c r="B55" t="s">
        <v>165</v>
      </c>
      <c r="C55" s="3">
        <v>600</v>
      </c>
      <c r="D55" s="3">
        <v>52.55</v>
      </c>
      <c r="E55" s="3">
        <v>44.54</v>
      </c>
      <c r="F55" s="3">
        <v>-0.24</v>
      </c>
      <c r="G55" s="3">
        <v>13.48</v>
      </c>
      <c r="H55" s="3">
        <v>14.25</v>
      </c>
      <c r="I55" s="3"/>
      <c r="J55" s="3"/>
      <c r="L55" t="s">
        <v>166</v>
      </c>
      <c r="M55">
        <v>6</v>
      </c>
      <c r="N55">
        <v>12000</v>
      </c>
      <c r="O55">
        <v>550</v>
      </c>
      <c r="P55">
        <v>360</v>
      </c>
      <c r="Q55" s="4">
        <v>182198</v>
      </c>
      <c r="R55" s="4" t="s">
        <v>63</v>
      </c>
      <c r="S55" s="5">
        <v>27</v>
      </c>
      <c r="T55">
        <v>27</v>
      </c>
      <c r="AG55" s="6"/>
      <c r="AH55">
        <v>18</v>
      </c>
      <c r="AI55">
        <v>18</v>
      </c>
      <c r="AV55" s="6"/>
      <c r="AW55">
        <v>1</v>
      </c>
      <c r="AX55">
        <v>1</v>
      </c>
    </row>
    <row r="56" spans="2:58" ht="15.75" customHeight="1" x14ac:dyDescent="0.25">
      <c r="B56" t="s">
        <v>167</v>
      </c>
      <c r="C56">
        <v>610</v>
      </c>
      <c r="D56">
        <v>48.5</v>
      </c>
      <c r="E56">
        <v>40.5</v>
      </c>
      <c r="F56">
        <v>-0.24</v>
      </c>
      <c r="G56">
        <v>15.07</v>
      </c>
      <c r="H56">
        <v>15.88</v>
      </c>
      <c r="L56" t="s">
        <v>168</v>
      </c>
      <c r="M56">
        <v>7.5</v>
      </c>
      <c r="N56">
        <v>11520</v>
      </c>
      <c r="O56">
        <v>550</v>
      </c>
      <c r="P56">
        <v>150</v>
      </c>
      <c r="Q56" s="15"/>
      <c r="R56" s="15"/>
      <c r="S56" s="5">
        <v>40</v>
      </c>
      <c r="T56">
        <v>40</v>
      </c>
      <c r="AG56" s="6"/>
      <c r="AH56">
        <v>32</v>
      </c>
      <c r="AI56">
        <v>32</v>
      </c>
      <c r="AV56" s="6"/>
      <c r="AW56">
        <v>2</v>
      </c>
      <c r="AX56">
        <v>2</v>
      </c>
    </row>
    <row r="57" spans="2:58" ht="15.75" customHeight="1" x14ac:dyDescent="0.25">
      <c r="B57" t="s">
        <v>169</v>
      </c>
      <c r="C57">
        <v>615</v>
      </c>
      <c r="D57">
        <v>48.7</v>
      </c>
      <c r="E57">
        <v>40.700000000000003</v>
      </c>
      <c r="F57">
        <v>-0.24</v>
      </c>
      <c r="G57">
        <v>15.12</v>
      </c>
      <c r="H57">
        <v>15.92</v>
      </c>
      <c r="L57" t="s">
        <v>170</v>
      </c>
      <c r="M57">
        <v>100</v>
      </c>
      <c r="N57">
        <f>2*$M57*1000</f>
        <v>200000</v>
      </c>
      <c r="O57">
        <v>1100</v>
      </c>
      <c r="P57">
        <v>540</v>
      </c>
      <c r="Q57" s="10">
        <v>107282</v>
      </c>
      <c r="R57" s="10" t="s">
        <v>63</v>
      </c>
      <c r="S57" s="8">
        <v>40</v>
      </c>
      <c r="T57">
        <v>40</v>
      </c>
      <c r="U57">
        <v>40</v>
      </c>
      <c r="V57">
        <v>40</v>
      </c>
      <c r="W57">
        <v>40</v>
      </c>
      <c r="X57">
        <v>40</v>
      </c>
      <c r="Y57">
        <v>40</v>
      </c>
      <c r="Z57">
        <v>40</v>
      </c>
      <c r="AA57">
        <v>40</v>
      </c>
      <c r="AB57">
        <v>40</v>
      </c>
      <c r="AG57" s="9"/>
      <c r="AH57">
        <v>30</v>
      </c>
      <c r="AI57">
        <v>30</v>
      </c>
      <c r="AJ57">
        <v>30</v>
      </c>
      <c r="AK57">
        <v>30</v>
      </c>
      <c r="AL57">
        <v>30</v>
      </c>
      <c r="AM57">
        <v>30</v>
      </c>
      <c r="AN57">
        <v>30</v>
      </c>
      <c r="AO57">
        <v>30</v>
      </c>
      <c r="AP57">
        <v>30</v>
      </c>
      <c r="AQ57">
        <v>30</v>
      </c>
      <c r="AV57" s="9"/>
      <c r="AW57">
        <v>2</v>
      </c>
      <c r="AX57">
        <v>2</v>
      </c>
      <c r="AY57">
        <v>2</v>
      </c>
      <c r="AZ57">
        <v>2</v>
      </c>
      <c r="BA57">
        <v>2</v>
      </c>
      <c r="BB57">
        <v>2</v>
      </c>
      <c r="BC57">
        <v>2</v>
      </c>
      <c r="BD57">
        <v>2</v>
      </c>
      <c r="BE57">
        <v>2</v>
      </c>
      <c r="BF57">
        <v>2</v>
      </c>
    </row>
    <row r="58" spans="2:58" ht="15.75" customHeight="1" x14ac:dyDescent="0.25">
      <c r="B58" t="s">
        <v>171</v>
      </c>
      <c r="C58" s="3">
        <v>700</v>
      </c>
      <c r="D58" s="3">
        <v>50</v>
      </c>
      <c r="E58" s="3">
        <v>42.1</v>
      </c>
      <c r="F58" s="3">
        <v>-0.24</v>
      </c>
      <c r="G58" s="3">
        <v>16.63</v>
      </c>
      <c r="H58" s="3">
        <v>17.37</v>
      </c>
      <c r="I58" s="3"/>
      <c r="J58" s="3"/>
      <c r="L58" t="s">
        <v>172</v>
      </c>
      <c r="M58">
        <v>100</v>
      </c>
      <c r="N58">
        <f>$M58*1000*1.5</f>
        <v>150000</v>
      </c>
      <c r="O58">
        <v>1100</v>
      </c>
      <c r="P58">
        <v>540</v>
      </c>
      <c r="Q58" s="7"/>
      <c r="R58" s="7"/>
      <c r="S58" s="8">
        <v>40</v>
      </c>
      <c r="T58">
        <v>40</v>
      </c>
      <c r="U58">
        <v>40</v>
      </c>
      <c r="V58">
        <v>40</v>
      </c>
      <c r="W58">
        <v>40</v>
      </c>
      <c r="X58">
        <v>40</v>
      </c>
      <c r="Y58">
        <v>40</v>
      </c>
      <c r="Z58">
        <v>40</v>
      </c>
      <c r="AA58">
        <v>40</v>
      </c>
      <c r="AB58">
        <v>40</v>
      </c>
      <c r="AG58" s="9"/>
      <c r="AH58">
        <v>30</v>
      </c>
      <c r="AI58">
        <v>30</v>
      </c>
      <c r="AJ58">
        <v>30</v>
      </c>
      <c r="AK58">
        <v>30</v>
      </c>
      <c r="AL58">
        <v>30</v>
      </c>
      <c r="AM58">
        <v>30</v>
      </c>
      <c r="AN58">
        <v>30</v>
      </c>
      <c r="AO58">
        <v>30</v>
      </c>
      <c r="AP58">
        <v>30</v>
      </c>
      <c r="AQ58">
        <v>30</v>
      </c>
      <c r="AV58" s="9"/>
      <c r="AW58">
        <v>2</v>
      </c>
      <c r="AX58">
        <v>2</v>
      </c>
      <c r="AY58">
        <v>2</v>
      </c>
      <c r="AZ58">
        <v>2</v>
      </c>
      <c r="BA58">
        <v>2</v>
      </c>
      <c r="BB58">
        <v>2</v>
      </c>
      <c r="BC58">
        <v>2</v>
      </c>
      <c r="BD58">
        <v>2</v>
      </c>
      <c r="BE58">
        <v>2</v>
      </c>
      <c r="BF58">
        <v>2</v>
      </c>
    </row>
    <row r="59" spans="2:58" ht="15.75" customHeight="1" x14ac:dyDescent="0.25">
      <c r="B59" t="s">
        <v>173</v>
      </c>
      <c r="C59">
        <v>560</v>
      </c>
      <c r="D59">
        <v>51.1</v>
      </c>
      <c r="E59">
        <v>42.4</v>
      </c>
      <c r="F59">
        <v>-0.26200000000000001</v>
      </c>
      <c r="G59" s="3">
        <v>13.21</v>
      </c>
      <c r="H59" s="3">
        <v>13.95</v>
      </c>
      <c r="I59" s="3"/>
      <c r="J59" s="3"/>
      <c r="L59" t="s">
        <v>174</v>
      </c>
      <c r="M59">
        <v>10</v>
      </c>
      <c r="N59">
        <f>$M59*2*1000</f>
        <v>20000</v>
      </c>
      <c r="O59">
        <v>600</v>
      </c>
      <c r="P59">
        <v>285</v>
      </c>
      <c r="Q59" s="4">
        <v>107277</v>
      </c>
      <c r="R59" s="4" t="s">
        <v>63</v>
      </c>
      <c r="S59" s="8">
        <v>20</v>
      </c>
      <c r="T59">
        <v>20</v>
      </c>
      <c r="U59">
        <v>20</v>
      </c>
      <c r="AG59" s="9"/>
      <c r="AH59">
        <v>15</v>
      </c>
      <c r="AI59">
        <v>15</v>
      </c>
      <c r="AJ59">
        <v>15</v>
      </c>
      <c r="AV59" s="9"/>
      <c r="AW59">
        <v>1</v>
      </c>
      <c r="AX59">
        <v>1</v>
      </c>
      <c r="AY59">
        <v>1</v>
      </c>
    </row>
    <row r="60" spans="2:58" ht="15.75" customHeight="1" x14ac:dyDescent="0.25">
      <c r="B60" t="s">
        <v>175</v>
      </c>
      <c r="C60">
        <v>310</v>
      </c>
      <c r="D60">
        <v>45.9</v>
      </c>
      <c r="E60">
        <v>37</v>
      </c>
      <c r="F60">
        <v>-0.31</v>
      </c>
      <c r="G60" s="3"/>
      <c r="H60" s="3"/>
      <c r="I60" s="3"/>
      <c r="J60" s="3"/>
      <c r="L60" t="s">
        <v>176</v>
      </c>
      <c r="M60">
        <v>10</v>
      </c>
      <c r="N60">
        <f>$M60*1000*1.5</f>
        <v>15000</v>
      </c>
      <c r="O60">
        <v>600</v>
      </c>
      <c r="P60">
        <v>285</v>
      </c>
      <c r="Q60" s="7"/>
      <c r="R60" s="7"/>
      <c r="S60" s="8">
        <v>20</v>
      </c>
      <c r="T60">
        <v>20</v>
      </c>
      <c r="U60">
        <v>20</v>
      </c>
      <c r="AG60" s="9"/>
      <c r="AH60">
        <v>15</v>
      </c>
      <c r="AI60">
        <v>15</v>
      </c>
      <c r="AJ60">
        <v>15</v>
      </c>
      <c r="AV60" s="9"/>
      <c r="AW60">
        <v>1</v>
      </c>
      <c r="AX60">
        <v>1</v>
      </c>
      <c r="AY60">
        <v>1</v>
      </c>
    </row>
    <row r="61" spans="2:58" ht="15.75" customHeight="1" x14ac:dyDescent="0.25">
      <c r="B61" s="14" t="s">
        <v>177</v>
      </c>
      <c r="C61">
        <v>585</v>
      </c>
      <c r="D61">
        <v>51.22</v>
      </c>
      <c r="E61">
        <v>42.55</v>
      </c>
      <c r="F61">
        <v>-0.25</v>
      </c>
      <c r="G61" s="3">
        <v>13.74</v>
      </c>
      <c r="H61" s="3">
        <v>14.53</v>
      </c>
      <c r="I61" s="3"/>
      <c r="J61" s="3"/>
      <c r="L61" t="s">
        <v>178</v>
      </c>
      <c r="M61">
        <v>12</v>
      </c>
      <c r="N61">
        <v>24000</v>
      </c>
      <c r="O61">
        <v>1100</v>
      </c>
      <c r="P61">
        <v>220</v>
      </c>
      <c r="Q61" s="4"/>
      <c r="R61" s="4"/>
      <c r="S61" s="8">
        <v>40</v>
      </c>
      <c r="T61">
        <v>40</v>
      </c>
      <c r="U61">
        <v>40</v>
      </c>
      <c r="V61">
        <v>40</v>
      </c>
      <c r="AG61" s="9"/>
      <c r="AH61">
        <v>30</v>
      </c>
      <c r="AI61">
        <v>30</v>
      </c>
      <c r="AJ61">
        <v>30</v>
      </c>
      <c r="AK61">
        <v>30</v>
      </c>
      <c r="AV61" s="9"/>
      <c r="AW61">
        <v>2</v>
      </c>
      <c r="AX61">
        <v>2</v>
      </c>
      <c r="AY61">
        <v>2</v>
      </c>
      <c r="AZ61">
        <v>2</v>
      </c>
    </row>
    <row r="62" spans="2:58" ht="15.75" customHeight="1" x14ac:dyDescent="0.25">
      <c r="B62" t="s">
        <v>179</v>
      </c>
      <c r="C62">
        <v>460</v>
      </c>
      <c r="D62">
        <v>41.8</v>
      </c>
      <c r="E62">
        <v>35.200000000000003</v>
      </c>
      <c r="F62">
        <v>-0.28000000000000003</v>
      </c>
      <c r="G62" s="3">
        <v>13.08</v>
      </c>
      <c r="H62" s="3">
        <v>13.78</v>
      </c>
      <c r="I62" s="3"/>
      <c r="J62" s="3"/>
      <c r="L62" t="s">
        <v>180</v>
      </c>
      <c r="M62">
        <v>15</v>
      </c>
      <c r="N62">
        <f>2*$M62*1000</f>
        <v>30000</v>
      </c>
      <c r="O62">
        <v>1100</v>
      </c>
      <c r="P62">
        <v>410</v>
      </c>
      <c r="Q62" s="7"/>
      <c r="R62" s="7"/>
      <c r="S62" s="8">
        <v>40</v>
      </c>
      <c r="T62">
        <v>40</v>
      </c>
      <c r="AG62" s="9"/>
      <c r="AH62">
        <v>30</v>
      </c>
      <c r="AI62">
        <v>30</v>
      </c>
      <c r="AV62" s="9"/>
      <c r="AW62">
        <v>2</v>
      </c>
      <c r="AX62">
        <v>2</v>
      </c>
    </row>
    <row r="63" spans="2:58" ht="15.75" customHeight="1" x14ac:dyDescent="0.25">
      <c r="B63" s="16" t="s">
        <v>181</v>
      </c>
      <c r="C63">
        <v>550</v>
      </c>
      <c r="D63">
        <v>49.8</v>
      </c>
      <c r="E63">
        <v>41.6</v>
      </c>
      <c r="F63">
        <v>-0.28000000000000003</v>
      </c>
      <c r="G63" s="3">
        <v>13.23</v>
      </c>
      <c r="H63" s="3">
        <v>13.99</v>
      </c>
      <c r="I63" s="3"/>
      <c r="J63" s="3"/>
      <c r="L63" t="s">
        <v>182</v>
      </c>
      <c r="M63">
        <v>15</v>
      </c>
      <c r="N63">
        <f>$M63*1000*1.5</f>
        <v>22500</v>
      </c>
      <c r="O63">
        <v>1100</v>
      </c>
      <c r="P63">
        <v>410</v>
      </c>
      <c r="Q63" s="4"/>
      <c r="R63" s="4"/>
      <c r="S63" s="8">
        <v>40</v>
      </c>
      <c r="T63">
        <v>40</v>
      </c>
      <c r="AG63" s="9"/>
      <c r="AH63">
        <v>30</v>
      </c>
      <c r="AI63">
        <v>30</v>
      </c>
      <c r="AV63" s="9"/>
      <c r="AW63">
        <v>2</v>
      </c>
      <c r="AX63">
        <v>2</v>
      </c>
    </row>
    <row r="64" spans="2:58" ht="15.75" customHeight="1" x14ac:dyDescent="0.25">
      <c r="B64" s="14" t="s">
        <v>183</v>
      </c>
      <c r="C64">
        <v>560</v>
      </c>
      <c r="D64">
        <v>50.2</v>
      </c>
      <c r="E64">
        <v>42</v>
      </c>
      <c r="F64">
        <v>-0.28000000000000003</v>
      </c>
      <c r="G64" s="3">
        <v>13.33</v>
      </c>
      <c r="H64" s="3">
        <v>14.11</v>
      </c>
      <c r="I64" s="3"/>
      <c r="J64" s="3"/>
      <c r="L64" t="s">
        <v>184</v>
      </c>
      <c r="M64">
        <v>20</v>
      </c>
      <c r="N64">
        <v>40000</v>
      </c>
      <c r="O64">
        <v>800</v>
      </c>
      <c r="P64">
        <v>200</v>
      </c>
      <c r="Q64" s="7">
        <v>185834</v>
      </c>
      <c r="R64" s="7" t="s">
        <v>63</v>
      </c>
      <c r="S64" s="5">
        <v>40</v>
      </c>
      <c r="T64">
        <v>40</v>
      </c>
      <c r="U64">
        <v>40</v>
      </c>
      <c r="V64">
        <v>40</v>
      </c>
      <c r="AG64" s="6"/>
      <c r="AH64">
        <v>27</v>
      </c>
      <c r="AI64">
        <v>27</v>
      </c>
      <c r="AJ64">
        <v>27</v>
      </c>
      <c r="AK64">
        <v>27</v>
      </c>
      <c r="AV64" s="6"/>
      <c r="AW64">
        <v>2</v>
      </c>
      <c r="AX64">
        <v>2</v>
      </c>
      <c r="AY64">
        <v>2</v>
      </c>
      <c r="AZ64">
        <v>2</v>
      </c>
    </row>
    <row r="65" spans="2:54" ht="15.75" customHeight="1" x14ac:dyDescent="0.25">
      <c r="B65" s="14" t="s">
        <v>185</v>
      </c>
      <c r="C65">
        <v>560</v>
      </c>
      <c r="D65">
        <v>47.42</v>
      </c>
      <c r="E65">
        <v>39.51</v>
      </c>
      <c r="F65">
        <v>-0.25</v>
      </c>
      <c r="G65" s="3">
        <v>14.17</v>
      </c>
      <c r="H65" s="3">
        <v>15</v>
      </c>
      <c r="I65" s="3"/>
      <c r="J65" s="3"/>
      <c r="L65" t="s">
        <v>186</v>
      </c>
      <c r="M65">
        <v>20</v>
      </c>
      <c r="N65">
        <f>2*$M65*1000</f>
        <v>40000</v>
      </c>
      <c r="O65">
        <v>1100</v>
      </c>
      <c r="P65">
        <v>480</v>
      </c>
      <c r="Q65" s="4"/>
      <c r="R65" s="4"/>
      <c r="S65" s="8">
        <v>40</v>
      </c>
      <c r="T65">
        <v>40</v>
      </c>
      <c r="AG65" s="9"/>
      <c r="AH65">
        <v>30</v>
      </c>
      <c r="AI65">
        <v>30</v>
      </c>
      <c r="AV65" s="9"/>
      <c r="AW65">
        <v>2</v>
      </c>
      <c r="AX65">
        <v>2</v>
      </c>
    </row>
    <row r="66" spans="2:54" ht="15.75" customHeight="1" x14ac:dyDescent="0.25">
      <c r="B66" s="14" t="s">
        <v>187</v>
      </c>
      <c r="C66">
        <v>580</v>
      </c>
      <c r="D66">
        <v>51.51</v>
      </c>
      <c r="E66">
        <v>42.9</v>
      </c>
      <c r="F66">
        <v>-0.25</v>
      </c>
      <c r="G66" s="3">
        <v>13.52</v>
      </c>
      <c r="H66" s="3">
        <v>14.08</v>
      </c>
      <c r="I66" s="3"/>
      <c r="J66" s="3"/>
      <c r="L66" t="s">
        <v>188</v>
      </c>
      <c r="M66">
        <v>20</v>
      </c>
      <c r="N66">
        <f>$M66*1000*1.5</f>
        <v>30000</v>
      </c>
      <c r="O66">
        <v>1100</v>
      </c>
      <c r="P66">
        <v>480</v>
      </c>
      <c r="Q66" s="7"/>
      <c r="R66" s="7"/>
      <c r="S66" s="8">
        <v>40</v>
      </c>
      <c r="T66">
        <v>40</v>
      </c>
      <c r="AG66" s="9"/>
      <c r="AH66">
        <v>30</v>
      </c>
      <c r="AI66">
        <v>30</v>
      </c>
      <c r="AV66" s="9"/>
      <c r="AW66">
        <v>2</v>
      </c>
      <c r="AX66">
        <v>2</v>
      </c>
    </row>
    <row r="67" spans="2:54" ht="15.75" customHeight="1" x14ac:dyDescent="0.25">
      <c r="B67" s="14" t="s">
        <v>189</v>
      </c>
      <c r="C67">
        <v>585</v>
      </c>
      <c r="D67">
        <v>48.42</v>
      </c>
      <c r="E67">
        <v>40.51</v>
      </c>
      <c r="F67">
        <v>-0.25</v>
      </c>
      <c r="G67" s="3">
        <v>14.44</v>
      </c>
      <c r="H67" s="3">
        <v>15.27</v>
      </c>
      <c r="I67" s="3"/>
      <c r="J67" s="3"/>
      <c r="L67" t="s">
        <v>190</v>
      </c>
      <c r="M67">
        <v>250</v>
      </c>
      <c r="N67">
        <f>2*$M67*1000</f>
        <v>500000</v>
      </c>
      <c r="O67">
        <v>1500</v>
      </c>
      <c r="P67">
        <v>550</v>
      </c>
      <c r="Q67" s="4">
        <v>107284</v>
      </c>
      <c r="R67" s="4" t="s">
        <v>63</v>
      </c>
      <c r="S67" s="8">
        <v>115</v>
      </c>
      <c r="T67">
        <v>115</v>
      </c>
      <c r="U67">
        <v>115</v>
      </c>
      <c r="V67">
        <v>115</v>
      </c>
      <c r="W67">
        <v>115</v>
      </c>
      <c r="X67">
        <v>115</v>
      </c>
      <c r="AG67" s="9"/>
      <c r="AH67">
        <v>65</v>
      </c>
      <c r="AI67">
        <v>65</v>
      </c>
      <c r="AJ67">
        <v>65</v>
      </c>
      <c r="AK67">
        <v>65</v>
      </c>
      <c r="AL67">
        <v>65</v>
      </c>
      <c r="AM67">
        <v>65</v>
      </c>
      <c r="AV67" s="9"/>
      <c r="AW67">
        <v>4</v>
      </c>
      <c r="AX67">
        <v>5</v>
      </c>
      <c r="AY67">
        <v>5</v>
      </c>
      <c r="AZ67">
        <v>4</v>
      </c>
      <c r="BA67">
        <v>5</v>
      </c>
      <c r="BB67">
        <v>5</v>
      </c>
    </row>
    <row r="68" spans="2:54" ht="15.75" customHeight="1" x14ac:dyDescent="0.25">
      <c r="B68" s="14" t="s">
        <v>191</v>
      </c>
      <c r="C68">
        <v>590</v>
      </c>
      <c r="D68">
        <v>53.7</v>
      </c>
      <c r="E68">
        <v>44.8</v>
      </c>
      <c r="F68">
        <v>-0.28000000000000003</v>
      </c>
      <c r="G68" s="3">
        <v>13.17</v>
      </c>
      <c r="H68" s="3">
        <v>13.94</v>
      </c>
      <c r="I68" s="3"/>
      <c r="J68" s="3"/>
      <c r="L68" t="s">
        <v>192</v>
      </c>
      <c r="M68">
        <v>250</v>
      </c>
      <c r="N68">
        <f>$M68*1000*1.5</f>
        <v>375000</v>
      </c>
      <c r="O68">
        <v>1500</v>
      </c>
      <c r="P68">
        <v>550</v>
      </c>
      <c r="Q68" s="7"/>
      <c r="R68" s="7"/>
      <c r="S68" s="8">
        <v>115</v>
      </c>
      <c r="T68">
        <v>115</v>
      </c>
      <c r="U68">
        <v>115</v>
      </c>
      <c r="V68">
        <v>115</v>
      </c>
      <c r="W68">
        <v>115</v>
      </c>
      <c r="X68">
        <v>115</v>
      </c>
      <c r="AG68" s="9"/>
      <c r="AH68">
        <v>65</v>
      </c>
      <c r="AI68">
        <v>65</v>
      </c>
      <c r="AJ68">
        <v>65</v>
      </c>
      <c r="AK68">
        <v>65</v>
      </c>
      <c r="AL68">
        <v>65</v>
      </c>
      <c r="AM68">
        <v>65</v>
      </c>
      <c r="AV68" s="9"/>
      <c r="AW68">
        <v>4</v>
      </c>
      <c r="AX68">
        <v>5</v>
      </c>
      <c r="AY68">
        <v>5</v>
      </c>
      <c r="AZ68">
        <v>4</v>
      </c>
      <c r="BA68">
        <v>5</v>
      </c>
      <c r="BB68">
        <v>5</v>
      </c>
    </row>
    <row r="69" spans="2:54" ht="15.75" customHeight="1" x14ac:dyDescent="0.25">
      <c r="B69" s="14" t="s">
        <v>193</v>
      </c>
      <c r="C69">
        <v>590</v>
      </c>
      <c r="D69">
        <v>48.62</v>
      </c>
      <c r="E69">
        <v>40.72</v>
      </c>
      <c r="F69">
        <v>-0.25</v>
      </c>
      <c r="G69" s="3">
        <v>14.94</v>
      </c>
      <c r="H69" s="3">
        <v>15.32</v>
      </c>
      <c r="I69" s="3"/>
      <c r="J69" s="3"/>
      <c r="L69" t="s">
        <v>194</v>
      </c>
      <c r="M69">
        <v>25</v>
      </c>
      <c r="N69">
        <f>2*$M69*1000</f>
        <v>50000</v>
      </c>
      <c r="O69">
        <v>1100</v>
      </c>
      <c r="P69">
        <v>530</v>
      </c>
      <c r="Q69" s="4"/>
      <c r="R69" s="4"/>
      <c r="S69" s="8">
        <v>40</v>
      </c>
      <c r="T69">
        <v>40</v>
      </c>
      <c r="AG69" s="9"/>
      <c r="AH69">
        <v>30</v>
      </c>
      <c r="AI69">
        <v>30</v>
      </c>
      <c r="AV69" s="9"/>
      <c r="AW69">
        <v>2</v>
      </c>
      <c r="AX69">
        <v>2</v>
      </c>
    </row>
    <row r="70" spans="2:54" ht="15.75" customHeight="1" x14ac:dyDescent="0.25">
      <c r="B70" s="14" t="s">
        <v>195</v>
      </c>
      <c r="C70">
        <v>595</v>
      </c>
      <c r="D70">
        <v>52</v>
      </c>
      <c r="E70">
        <v>43.5</v>
      </c>
      <c r="F70">
        <v>-0.25</v>
      </c>
      <c r="G70" s="3">
        <v>13.68</v>
      </c>
      <c r="H70" s="3">
        <v>14.26</v>
      </c>
      <c r="I70" s="3"/>
      <c r="J70" s="3"/>
      <c r="L70" t="s">
        <v>196</v>
      </c>
      <c r="M70">
        <v>25</v>
      </c>
      <c r="N70">
        <f>$M70*1000*1.5</f>
        <v>37500</v>
      </c>
      <c r="O70">
        <v>1100</v>
      </c>
      <c r="P70">
        <v>530</v>
      </c>
      <c r="Q70" s="7"/>
      <c r="R70" s="7"/>
      <c r="S70" s="8">
        <v>40</v>
      </c>
      <c r="T70">
        <v>40</v>
      </c>
      <c r="AG70" s="9"/>
      <c r="AH70">
        <v>30</v>
      </c>
      <c r="AI70">
        <v>30</v>
      </c>
      <c r="AV70" s="9"/>
      <c r="AW70">
        <v>2</v>
      </c>
      <c r="AX70">
        <v>2</v>
      </c>
    </row>
    <row r="71" spans="2:54" ht="15.75" customHeight="1" x14ac:dyDescent="0.25">
      <c r="B71" t="s">
        <v>197</v>
      </c>
      <c r="C71" s="3">
        <v>610</v>
      </c>
      <c r="D71" s="3">
        <v>49.05</v>
      </c>
      <c r="E71" s="3">
        <v>40.659999999999997</v>
      </c>
      <c r="F71" s="3">
        <v>-0.25</v>
      </c>
      <c r="G71" s="3">
        <v>15</v>
      </c>
      <c r="H71" s="3">
        <v>15.84</v>
      </c>
      <c r="I71" s="3"/>
      <c r="J71" s="3"/>
      <c r="L71" t="s">
        <v>198</v>
      </c>
      <c r="M71">
        <v>30</v>
      </c>
      <c r="N71">
        <v>60000</v>
      </c>
      <c r="O71">
        <v>1100</v>
      </c>
      <c r="P71">
        <v>200</v>
      </c>
      <c r="Q71" s="4">
        <v>140245</v>
      </c>
      <c r="R71" s="4" t="s">
        <v>63</v>
      </c>
      <c r="S71" s="8">
        <v>40</v>
      </c>
      <c r="T71">
        <v>40</v>
      </c>
      <c r="U71">
        <v>40</v>
      </c>
      <c r="V71">
        <v>40</v>
      </c>
      <c r="AG71" s="9"/>
      <c r="AH71" s="11">
        <v>26</v>
      </c>
      <c r="AI71" s="11">
        <v>26</v>
      </c>
      <c r="AJ71" s="11">
        <v>26</v>
      </c>
      <c r="AK71" s="11">
        <v>26</v>
      </c>
      <c r="AL71" s="11"/>
      <c r="AM71" s="11"/>
      <c r="AN71" s="11"/>
      <c r="AO71" s="11"/>
      <c r="AP71" s="11"/>
      <c r="AQ71" s="11"/>
      <c r="AR71" s="11"/>
      <c r="AS71" s="11"/>
      <c r="AT71" s="11"/>
      <c r="AU71" s="11"/>
      <c r="AV71" s="12"/>
      <c r="AW71">
        <v>2</v>
      </c>
      <c r="AX71">
        <v>2</v>
      </c>
      <c r="AY71">
        <v>2</v>
      </c>
      <c r="AZ71">
        <v>2</v>
      </c>
    </row>
    <row r="72" spans="2:54" ht="15.75" customHeight="1" x14ac:dyDescent="0.25">
      <c r="B72" t="s">
        <v>199</v>
      </c>
      <c r="C72" s="3">
        <v>610</v>
      </c>
      <c r="D72" s="3">
        <v>49.05</v>
      </c>
      <c r="E72" s="3">
        <v>40.659999999999997</v>
      </c>
      <c r="F72" s="3">
        <v>-0.25</v>
      </c>
      <c r="G72" s="3">
        <v>15</v>
      </c>
      <c r="H72" s="3">
        <v>15.84</v>
      </c>
      <c r="I72" s="3"/>
      <c r="J72" s="3"/>
      <c r="L72" t="s">
        <v>200</v>
      </c>
      <c r="M72">
        <v>3</v>
      </c>
      <c r="N72">
        <f>$M72*1.7*1000</f>
        <v>5100</v>
      </c>
      <c r="O72">
        <v>600</v>
      </c>
      <c r="P72">
        <v>100</v>
      </c>
      <c r="Q72" s="7">
        <v>107271</v>
      </c>
      <c r="R72" s="7" t="s">
        <v>63</v>
      </c>
      <c r="S72" s="8">
        <v>20</v>
      </c>
      <c r="T72">
        <v>20</v>
      </c>
      <c r="AC72" s="17"/>
      <c r="AD72" s="17"/>
      <c r="AE72" s="17"/>
      <c r="AF72" s="17"/>
      <c r="AG72" s="18"/>
      <c r="AH72">
        <v>13.5</v>
      </c>
      <c r="AI72">
        <v>13.5</v>
      </c>
      <c r="AV72" s="9"/>
      <c r="AW72">
        <v>1</v>
      </c>
      <c r="AX72">
        <v>1</v>
      </c>
    </row>
    <row r="73" spans="2:54" ht="15.75" customHeight="1" x14ac:dyDescent="0.25">
      <c r="B73" t="s">
        <v>201</v>
      </c>
      <c r="C73">
        <v>650</v>
      </c>
      <c r="D73">
        <v>45.58</v>
      </c>
      <c r="E73">
        <v>37.61</v>
      </c>
      <c r="F73">
        <v>-0.28000000000000003</v>
      </c>
      <c r="G73" s="3">
        <v>17.28</v>
      </c>
      <c r="H73" s="3">
        <v>18.16</v>
      </c>
      <c r="I73" s="3"/>
      <c r="J73" s="3"/>
      <c r="L73" t="s">
        <v>202</v>
      </c>
      <c r="M73">
        <v>3</v>
      </c>
      <c r="N73">
        <f>$M73*1000*1.5</f>
        <v>4500</v>
      </c>
      <c r="O73">
        <v>600</v>
      </c>
      <c r="P73">
        <v>100</v>
      </c>
      <c r="Q73" s="4"/>
      <c r="R73" s="4"/>
      <c r="S73" s="8">
        <v>20</v>
      </c>
      <c r="T73">
        <v>20</v>
      </c>
      <c r="AC73" s="17"/>
      <c r="AD73" s="17"/>
      <c r="AE73" s="17"/>
      <c r="AF73" s="17"/>
      <c r="AG73" s="18"/>
      <c r="AH73">
        <v>13.5</v>
      </c>
      <c r="AI73">
        <v>13.5</v>
      </c>
      <c r="AV73" s="9"/>
      <c r="AW73">
        <v>1</v>
      </c>
      <c r="AX73">
        <v>1</v>
      </c>
    </row>
    <row r="74" spans="2:54" ht="15.75" customHeight="1" x14ac:dyDescent="0.25">
      <c r="B74" s="14" t="s">
        <v>203</v>
      </c>
      <c r="C74">
        <v>665</v>
      </c>
      <c r="D74" s="19">
        <v>46.18</v>
      </c>
      <c r="E74">
        <v>38.21</v>
      </c>
      <c r="F74">
        <v>-0.25</v>
      </c>
      <c r="G74" s="3">
        <v>17.399999999999999</v>
      </c>
      <c r="H74" s="3">
        <v>18.309999999999999</v>
      </c>
      <c r="I74" s="3"/>
      <c r="J74" s="3"/>
      <c r="L74" t="s">
        <v>204</v>
      </c>
      <c r="M74">
        <v>4</v>
      </c>
      <c r="N74">
        <f>$M74*1000*1.7</f>
        <v>6800</v>
      </c>
      <c r="O74">
        <v>600</v>
      </c>
      <c r="P74">
        <v>100</v>
      </c>
      <c r="Q74" s="7">
        <v>121772</v>
      </c>
      <c r="R74" s="7" t="s">
        <v>63</v>
      </c>
      <c r="S74" s="8">
        <v>20</v>
      </c>
      <c r="T74">
        <v>20</v>
      </c>
      <c r="AG74" s="9"/>
      <c r="AH74">
        <v>13.5</v>
      </c>
      <c r="AI74">
        <v>13.5</v>
      </c>
      <c r="AJ74" s="11"/>
      <c r="AK74" s="11"/>
      <c r="AL74" s="11"/>
      <c r="AM74" s="11"/>
      <c r="AN74" s="11"/>
      <c r="AO74" s="11"/>
      <c r="AP74" s="11"/>
      <c r="AQ74" s="11"/>
      <c r="AR74" s="11"/>
      <c r="AS74" s="11"/>
      <c r="AT74" s="11"/>
      <c r="AU74" s="11"/>
      <c r="AV74" s="12"/>
      <c r="AW74">
        <v>1</v>
      </c>
      <c r="AX74">
        <v>1</v>
      </c>
    </row>
    <row r="75" spans="2:54" ht="15.75" customHeight="1" x14ac:dyDescent="0.25">
      <c r="B75" t="s">
        <v>205</v>
      </c>
      <c r="C75" s="3">
        <v>670</v>
      </c>
      <c r="D75" s="3">
        <v>46.38</v>
      </c>
      <c r="E75" s="3">
        <v>38.409999999999997</v>
      </c>
      <c r="F75" s="3">
        <v>-0.25</v>
      </c>
      <c r="G75" s="3">
        <v>17.440000000000001</v>
      </c>
      <c r="H75" s="3">
        <v>18.36</v>
      </c>
      <c r="I75" s="3"/>
      <c r="J75" s="3"/>
      <c r="L75" t="s">
        <v>204</v>
      </c>
      <c r="M75">
        <v>4</v>
      </c>
      <c r="N75">
        <f>$M75*1000*1.7</f>
        <v>6800</v>
      </c>
      <c r="O75">
        <v>600</v>
      </c>
      <c r="P75">
        <v>100</v>
      </c>
      <c r="Q75" s="4"/>
      <c r="R75" s="4"/>
      <c r="S75" s="8">
        <v>20</v>
      </c>
      <c r="T75">
        <v>20</v>
      </c>
      <c r="AG75" s="9"/>
      <c r="AH75">
        <v>13.5</v>
      </c>
      <c r="AI75">
        <v>13.5</v>
      </c>
      <c r="AJ75" s="11"/>
      <c r="AK75" s="11"/>
      <c r="AL75" s="11"/>
      <c r="AM75" s="11"/>
      <c r="AN75" s="11"/>
      <c r="AO75" s="11"/>
      <c r="AP75" s="11"/>
      <c r="AQ75" s="11"/>
      <c r="AR75" s="11"/>
      <c r="AS75" s="11"/>
      <c r="AT75" s="11"/>
      <c r="AU75" s="11"/>
      <c r="AV75" s="12"/>
      <c r="AW75">
        <v>1</v>
      </c>
      <c r="AX75">
        <v>1</v>
      </c>
    </row>
    <row r="76" spans="2:54" ht="15.75" customHeight="1" x14ac:dyDescent="0.25">
      <c r="B76" t="s">
        <v>206</v>
      </c>
      <c r="C76" s="3">
        <v>700</v>
      </c>
      <c r="D76" s="3">
        <v>48.2</v>
      </c>
      <c r="E76" s="3">
        <v>40.200000000000003</v>
      </c>
      <c r="F76" s="3">
        <v>-0.25</v>
      </c>
      <c r="G76" s="3">
        <v>17.41</v>
      </c>
      <c r="H76" s="3">
        <v>18.48</v>
      </c>
      <c r="I76" s="3"/>
      <c r="J76" s="3"/>
      <c r="L76" t="s">
        <v>207</v>
      </c>
      <c r="M76">
        <v>50</v>
      </c>
      <c r="N76">
        <v>100000</v>
      </c>
      <c r="O76">
        <v>1100</v>
      </c>
      <c r="P76">
        <v>200</v>
      </c>
      <c r="Q76" s="7">
        <v>140242</v>
      </c>
      <c r="R76" s="7" t="s">
        <v>63</v>
      </c>
      <c r="S76" s="8">
        <v>40</v>
      </c>
      <c r="T76">
        <v>40</v>
      </c>
      <c r="U76">
        <v>40</v>
      </c>
      <c r="V76">
        <v>40</v>
      </c>
      <c r="AG76" s="9"/>
      <c r="AH76" s="11">
        <v>30</v>
      </c>
      <c r="AI76" s="11">
        <v>30</v>
      </c>
      <c r="AJ76" s="11">
        <v>30</v>
      </c>
      <c r="AK76" s="11">
        <v>30</v>
      </c>
      <c r="AL76" s="11"/>
      <c r="AM76" s="11"/>
      <c r="AN76" s="11"/>
      <c r="AO76" s="11"/>
      <c r="AP76" s="11"/>
      <c r="AQ76" s="11"/>
      <c r="AR76" s="11"/>
      <c r="AS76" s="11"/>
      <c r="AT76" s="11"/>
      <c r="AU76" s="11"/>
      <c r="AV76" s="12"/>
      <c r="AW76">
        <v>2</v>
      </c>
      <c r="AX76">
        <v>2</v>
      </c>
      <c r="AY76">
        <v>2</v>
      </c>
      <c r="AZ76">
        <v>2</v>
      </c>
    </row>
    <row r="77" spans="2:54" ht="15.75" customHeight="1" x14ac:dyDescent="0.25">
      <c r="B77" t="s">
        <v>208</v>
      </c>
      <c r="C77">
        <v>570</v>
      </c>
      <c r="D77">
        <v>47.82</v>
      </c>
      <c r="E77">
        <v>39.909999999999997</v>
      </c>
      <c r="F77">
        <v>-0.25</v>
      </c>
      <c r="G77">
        <v>14.28</v>
      </c>
      <c r="H77">
        <v>15.12</v>
      </c>
      <c r="L77" t="s">
        <v>209</v>
      </c>
      <c r="M77">
        <v>5</v>
      </c>
      <c r="N77">
        <f>$M77*1.7*1000</f>
        <v>8500</v>
      </c>
      <c r="O77">
        <v>600</v>
      </c>
      <c r="P77">
        <v>100</v>
      </c>
      <c r="Q77" s="10">
        <v>107272</v>
      </c>
      <c r="R77" s="10" t="s">
        <v>63</v>
      </c>
      <c r="S77" s="8">
        <v>20</v>
      </c>
      <c r="T77">
        <v>20</v>
      </c>
      <c r="AC77" s="11"/>
      <c r="AD77" s="11"/>
      <c r="AE77" s="11"/>
      <c r="AF77" s="11"/>
      <c r="AG77" s="12"/>
      <c r="AH77">
        <v>13.5</v>
      </c>
      <c r="AI77">
        <v>13.5</v>
      </c>
      <c r="AV77" s="9"/>
      <c r="AW77">
        <v>1</v>
      </c>
      <c r="AX77">
        <v>1</v>
      </c>
    </row>
    <row r="78" spans="2:54" ht="15.75" customHeight="1" x14ac:dyDescent="0.25">
      <c r="B78" s="14" t="s">
        <v>210</v>
      </c>
      <c r="C78">
        <v>585</v>
      </c>
      <c r="D78">
        <v>48.42</v>
      </c>
      <c r="E78">
        <v>40.51</v>
      </c>
      <c r="F78">
        <v>-0.25</v>
      </c>
      <c r="G78" s="3">
        <v>14.44</v>
      </c>
      <c r="H78" s="3">
        <v>15.27</v>
      </c>
      <c r="I78" s="3"/>
      <c r="J78" s="3"/>
      <c r="L78" t="s">
        <v>211</v>
      </c>
      <c r="M78">
        <v>5</v>
      </c>
      <c r="N78">
        <f>$M78*1000*1.5</f>
        <v>7500</v>
      </c>
      <c r="O78">
        <v>600</v>
      </c>
      <c r="P78">
        <v>100</v>
      </c>
      <c r="Q78" s="7"/>
      <c r="R78" s="7"/>
      <c r="S78" s="8">
        <v>20</v>
      </c>
      <c r="T78">
        <v>20</v>
      </c>
      <c r="AC78" s="11"/>
      <c r="AD78" s="11"/>
      <c r="AE78" s="11"/>
      <c r="AF78" s="11"/>
      <c r="AG78" s="12"/>
      <c r="AH78">
        <v>13.5</v>
      </c>
      <c r="AI78">
        <v>13.5</v>
      </c>
      <c r="AV78" s="9"/>
      <c r="AW78">
        <v>1</v>
      </c>
      <c r="AX78">
        <v>1</v>
      </c>
    </row>
    <row r="79" spans="2:54" ht="15.75" customHeight="1" x14ac:dyDescent="0.25">
      <c r="B79" s="14" t="s">
        <v>212</v>
      </c>
      <c r="C79" s="3">
        <v>620</v>
      </c>
      <c r="D79" s="3">
        <v>52.09</v>
      </c>
      <c r="E79" s="3">
        <v>43.48</v>
      </c>
      <c r="F79" s="3">
        <v>-0.25</v>
      </c>
      <c r="G79" s="3">
        <v>14.26</v>
      </c>
      <c r="H79" s="3">
        <v>15.09</v>
      </c>
      <c r="I79" s="3"/>
      <c r="J79" s="3"/>
      <c r="L79" t="s">
        <v>213</v>
      </c>
      <c r="M79">
        <v>60</v>
      </c>
      <c r="N79">
        <v>120000</v>
      </c>
      <c r="O79">
        <v>1100</v>
      </c>
      <c r="P79">
        <v>200</v>
      </c>
      <c r="Q79" s="4"/>
      <c r="R79" s="4"/>
      <c r="S79" s="8">
        <v>30</v>
      </c>
      <c r="T79">
        <v>30</v>
      </c>
      <c r="U79">
        <v>30</v>
      </c>
      <c r="V79">
        <v>30</v>
      </c>
      <c r="W79">
        <v>30</v>
      </c>
      <c r="X79">
        <v>30</v>
      </c>
      <c r="AG79" s="9"/>
      <c r="AH79">
        <v>22</v>
      </c>
      <c r="AI79">
        <v>22</v>
      </c>
      <c r="AJ79">
        <v>22</v>
      </c>
      <c r="AK79">
        <v>22</v>
      </c>
      <c r="AL79">
        <v>22</v>
      </c>
      <c r="AM79">
        <v>22</v>
      </c>
      <c r="AV79" s="9"/>
      <c r="AW79">
        <v>2</v>
      </c>
      <c r="AX79">
        <v>2</v>
      </c>
      <c r="AY79">
        <v>2</v>
      </c>
      <c r="AZ79">
        <v>2</v>
      </c>
      <c r="BA79">
        <v>2</v>
      </c>
      <c r="BB79">
        <v>2</v>
      </c>
    </row>
    <row r="80" spans="2:54" ht="15.75" customHeight="1" x14ac:dyDescent="0.25">
      <c r="B80" t="s">
        <v>214</v>
      </c>
      <c r="C80" s="3">
        <v>620</v>
      </c>
      <c r="D80" s="3">
        <v>49.55</v>
      </c>
      <c r="E80" s="3">
        <v>41.06</v>
      </c>
      <c r="F80" s="3">
        <v>-0.25</v>
      </c>
      <c r="G80" s="3">
        <v>15.1</v>
      </c>
      <c r="H80" s="3">
        <v>15.93</v>
      </c>
      <c r="I80" s="3"/>
      <c r="J80" s="3"/>
      <c r="L80" t="s">
        <v>215</v>
      </c>
      <c r="M80">
        <v>6</v>
      </c>
      <c r="N80">
        <f>$M80*1.7*1000</f>
        <v>10200</v>
      </c>
      <c r="O80">
        <v>600</v>
      </c>
      <c r="P80">
        <v>100</v>
      </c>
      <c r="Q80" s="7">
        <v>107273</v>
      </c>
      <c r="R80" s="7" t="s">
        <v>63</v>
      </c>
      <c r="S80" s="8">
        <v>20</v>
      </c>
      <c r="T80">
        <v>20</v>
      </c>
      <c r="AC80" s="20"/>
      <c r="AD80" s="20"/>
      <c r="AE80" s="20"/>
      <c r="AF80" s="20"/>
      <c r="AG80" s="21"/>
      <c r="AH80">
        <v>13.5</v>
      </c>
      <c r="AI80">
        <v>13.5</v>
      </c>
      <c r="AV80" s="9"/>
      <c r="AW80">
        <v>1</v>
      </c>
      <c r="AX80">
        <v>1</v>
      </c>
    </row>
    <row r="81" spans="2:61" ht="15.75" customHeight="1" x14ac:dyDescent="0.25">
      <c r="B81" s="14" t="s">
        <v>216</v>
      </c>
      <c r="C81" s="3">
        <v>620</v>
      </c>
      <c r="D81" s="3">
        <v>49.55</v>
      </c>
      <c r="E81" s="3">
        <v>41.06</v>
      </c>
      <c r="F81" s="3">
        <v>-0.25</v>
      </c>
      <c r="G81" s="3">
        <v>15.1</v>
      </c>
      <c r="H81" s="3">
        <v>15.93</v>
      </c>
      <c r="I81" s="3"/>
      <c r="J81" s="3"/>
      <c r="L81" t="s">
        <v>217</v>
      </c>
      <c r="M81">
        <v>6</v>
      </c>
      <c r="N81">
        <f>$M81*1000*1.5</f>
        <v>9000</v>
      </c>
      <c r="O81">
        <v>600</v>
      </c>
      <c r="P81">
        <v>100</v>
      </c>
      <c r="Q81" s="4"/>
      <c r="R81" s="4"/>
      <c r="S81" s="8">
        <v>20</v>
      </c>
      <c r="T81">
        <v>20</v>
      </c>
      <c r="AC81" s="20"/>
      <c r="AD81" s="20"/>
      <c r="AE81" s="20"/>
      <c r="AF81" s="20"/>
      <c r="AG81" s="21"/>
      <c r="AH81">
        <v>13.5</v>
      </c>
      <c r="AI81">
        <v>13.5</v>
      </c>
      <c r="AV81" s="9"/>
      <c r="AW81">
        <v>1</v>
      </c>
      <c r="AX81">
        <v>1</v>
      </c>
    </row>
    <row r="82" spans="2:61" ht="15.75" customHeight="1" x14ac:dyDescent="0.25">
      <c r="B82" s="14" t="s">
        <v>218</v>
      </c>
      <c r="C82">
        <v>690</v>
      </c>
      <c r="D82">
        <v>47.8</v>
      </c>
      <c r="E82">
        <v>39.799999999999997</v>
      </c>
      <c r="F82">
        <v>-0.25</v>
      </c>
      <c r="G82" s="3">
        <v>17.34</v>
      </c>
      <c r="H82" s="3">
        <v>18.3</v>
      </c>
      <c r="I82" s="3"/>
      <c r="J82" s="3"/>
      <c r="L82" t="s">
        <v>219</v>
      </c>
      <c r="M82">
        <v>7.5</v>
      </c>
      <c r="N82">
        <f>Table_2[[#This Row],[Pnom]]*2*1000</f>
        <v>15000</v>
      </c>
      <c r="O82">
        <v>600</v>
      </c>
      <c r="P82">
        <v>50</v>
      </c>
      <c r="Q82" s="7"/>
      <c r="R82" s="7"/>
      <c r="S82" s="5">
        <v>20</v>
      </c>
      <c r="T82">
        <v>20</v>
      </c>
      <c r="U82">
        <v>20</v>
      </c>
      <c r="AG82" s="6"/>
      <c r="AH82">
        <v>16</v>
      </c>
      <c r="AI82">
        <v>16</v>
      </c>
      <c r="AJ82">
        <v>16</v>
      </c>
      <c r="AV82" s="6"/>
      <c r="AW82">
        <v>1</v>
      </c>
      <c r="AX82">
        <v>1</v>
      </c>
      <c r="AY82">
        <v>1</v>
      </c>
    </row>
    <row r="83" spans="2:61" ht="15.75" customHeight="1" x14ac:dyDescent="0.25">
      <c r="B83" t="s">
        <v>220</v>
      </c>
      <c r="C83" s="3">
        <v>445</v>
      </c>
      <c r="D83" s="3">
        <v>49.4</v>
      </c>
      <c r="E83" s="3">
        <v>41.2</v>
      </c>
      <c r="F83" s="3">
        <v>-0.28399999999999997</v>
      </c>
      <c r="G83" s="3">
        <v>10.8</v>
      </c>
      <c r="H83" s="3">
        <v>11.52</v>
      </c>
      <c r="I83" s="3"/>
      <c r="J83" s="3"/>
      <c r="L83" t="s">
        <v>221</v>
      </c>
      <c r="M83">
        <v>75</v>
      </c>
      <c r="N83">
        <v>150000</v>
      </c>
      <c r="O83">
        <v>750</v>
      </c>
      <c r="P83">
        <v>160</v>
      </c>
      <c r="Q83" s="4">
        <v>183056</v>
      </c>
      <c r="R83" s="4" t="s">
        <v>63</v>
      </c>
      <c r="S83" s="5">
        <v>66</v>
      </c>
      <c r="T83">
        <v>66</v>
      </c>
      <c r="U83">
        <v>66</v>
      </c>
      <c r="V83">
        <v>66</v>
      </c>
      <c r="W83">
        <v>66</v>
      </c>
      <c r="X83">
        <v>66</v>
      </c>
      <c r="Y83">
        <v>66</v>
      </c>
      <c r="AG83" s="6"/>
      <c r="AH83">
        <v>48</v>
      </c>
      <c r="AI83">
        <v>48</v>
      </c>
      <c r="AJ83">
        <v>48</v>
      </c>
      <c r="AK83">
        <v>48</v>
      </c>
      <c r="AL83">
        <v>48</v>
      </c>
      <c r="AM83">
        <v>48</v>
      </c>
      <c r="AN83">
        <v>48</v>
      </c>
      <c r="AV83" s="6"/>
      <c r="AW83">
        <v>3</v>
      </c>
      <c r="AX83">
        <v>3</v>
      </c>
      <c r="AY83">
        <v>3</v>
      </c>
      <c r="AZ83">
        <v>3</v>
      </c>
      <c r="BA83">
        <v>3</v>
      </c>
      <c r="BB83">
        <v>3</v>
      </c>
      <c r="BC83">
        <v>3</v>
      </c>
    </row>
    <row r="84" spans="2:61" ht="15.75" customHeight="1" x14ac:dyDescent="0.25">
      <c r="B84" t="s">
        <v>222</v>
      </c>
      <c r="C84" s="3">
        <v>450</v>
      </c>
      <c r="D84" s="3">
        <v>49.6</v>
      </c>
      <c r="E84" s="3">
        <v>41.4</v>
      </c>
      <c r="F84" s="3">
        <v>-0.28399999999999997</v>
      </c>
      <c r="G84" s="3">
        <v>10.87</v>
      </c>
      <c r="H84" s="3">
        <v>11.58</v>
      </c>
      <c r="I84" s="3"/>
      <c r="J84" s="3"/>
      <c r="L84" t="s">
        <v>223</v>
      </c>
      <c r="M84">
        <v>75</v>
      </c>
      <c r="N84">
        <f>2*$M84*1000</f>
        <v>150000</v>
      </c>
      <c r="O84">
        <v>1100</v>
      </c>
      <c r="P84">
        <v>540</v>
      </c>
      <c r="Q84" s="7">
        <v>107281</v>
      </c>
      <c r="R84" s="7" t="s">
        <v>63</v>
      </c>
      <c r="S84" s="8">
        <v>40</v>
      </c>
      <c r="T84">
        <v>40</v>
      </c>
      <c r="U84">
        <v>40</v>
      </c>
      <c r="V84">
        <v>40</v>
      </c>
      <c r="W84">
        <v>40</v>
      </c>
      <c r="X84">
        <v>40</v>
      </c>
      <c r="Y84">
        <v>40</v>
      </c>
      <c r="Z84">
        <v>40</v>
      </c>
      <c r="AA84">
        <v>40</v>
      </c>
      <c r="AB84">
        <v>40</v>
      </c>
      <c r="AG84" s="9"/>
      <c r="AH84">
        <v>26</v>
      </c>
      <c r="AI84">
        <v>26</v>
      </c>
      <c r="AJ84">
        <v>26</v>
      </c>
      <c r="AK84">
        <v>26</v>
      </c>
      <c r="AL84">
        <v>26</v>
      </c>
      <c r="AM84">
        <v>26</v>
      </c>
      <c r="AN84">
        <v>26</v>
      </c>
      <c r="AO84">
        <v>26</v>
      </c>
      <c r="AP84">
        <v>26</v>
      </c>
      <c r="AQ84">
        <v>26</v>
      </c>
      <c r="AV84" s="9"/>
      <c r="AW84">
        <v>2</v>
      </c>
      <c r="AX84">
        <v>2</v>
      </c>
      <c r="AY84">
        <v>2</v>
      </c>
      <c r="AZ84">
        <v>2</v>
      </c>
      <c r="BA84">
        <v>2</v>
      </c>
      <c r="BB84">
        <v>2</v>
      </c>
      <c r="BC84">
        <v>2</v>
      </c>
      <c r="BD84">
        <v>2</v>
      </c>
      <c r="BE84">
        <v>2</v>
      </c>
      <c r="BF84">
        <v>2</v>
      </c>
    </row>
    <row r="85" spans="2:61" ht="15.75" customHeight="1" x14ac:dyDescent="0.25">
      <c r="B85" t="s">
        <v>224</v>
      </c>
      <c r="C85" s="3">
        <v>455</v>
      </c>
      <c r="D85" s="3">
        <v>49.8</v>
      </c>
      <c r="E85" s="3">
        <v>41.6</v>
      </c>
      <c r="F85" s="3">
        <v>-0.28399999999999997</v>
      </c>
      <c r="G85" s="3">
        <v>10.93</v>
      </c>
      <c r="H85" s="3">
        <v>11.65</v>
      </c>
      <c r="I85" s="3"/>
      <c r="J85" s="3"/>
      <c r="L85" t="s">
        <v>225</v>
      </c>
      <c r="M85">
        <v>75</v>
      </c>
      <c r="N85">
        <f>$M85*1000*1.5</f>
        <v>112500</v>
      </c>
      <c r="O85">
        <v>1100</v>
      </c>
      <c r="P85">
        <v>540</v>
      </c>
      <c r="Q85" s="4"/>
      <c r="R85" s="4"/>
      <c r="S85" s="8">
        <v>40</v>
      </c>
      <c r="T85">
        <v>40</v>
      </c>
      <c r="U85">
        <v>40</v>
      </c>
      <c r="V85">
        <v>40</v>
      </c>
      <c r="W85">
        <v>40</v>
      </c>
      <c r="X85">
        <v>40</v>
      </c>
      <c r="Y85">
        <v>40</v>
      </c>
      <c r="Z85">
        <v>40</v>
      </c>
      <c r="AA85">
        <v>40</v>
      </c>
      <c r="AB85">
        <v>40</v>
      </c>
      <c r="AG85" s="9"/>
      <c r="AH85">
        <v>26</v>
      </c>
      <c r="AI85">
        <v>26</v>
      </c>
      <c r="AJ85">
        <v>26</v>
      </c>
      <c r="AK85">
        <v>26</v>
      </c>
      <c r="AL85">
        <v>26</v>
      </c>
      <c r="AM85">
        <v>26</v>
      </c>
      <c r="AN85">
        <v>26</v>
      </c>
      <c r="AO85">
        <v>26</v>
      </c>
      <c r="AP85">
        <v>26</v>
      </c>
      <c r="AQ85">
        <v>26</v>
      </c>
      <c r="AV85" s="9"/>
      <c r="AW85">
        <v>2</v>
      </c>
      <c r="AX85">
        <v>2</v>
      </c>
      <c r="AY85">
        <v>2</v>
      </c>
      <c r="AZ85">
        <v>2</v>
      </c>
      <c r="BA85">
        <v>2</v>
      </c>
      <c r="BB85">
        <v>2</v>
      </c>
      <c r="BC85">
        <v>2</v>
      </c>
      <c r="BD85">
        <v>2</v>
      </c>
      <c r="BE85">
        <v>2</v>
      </c>
      <c r="BF85">
        <v>2</v>
      </c>
    </row>
    <row r="86" spans="2:61" ht="15.75" customHeight="1" x14ac:dyDescent="0.25">
      <c r="B86" t="s">
        <v>226</v>
      </c>
      <c r="C86">
        <v>440</v>
      </c>
      <c r="D86">
        <v>49.6</v>
      </c>
      <c r="E86">
        <v>41</v>
      </c>
      <c r="F86">
        <v>-0.28599999999999998</v>
      </c>
      <c r="G86" s="3">
        <v>10.74</v>
      </c>
      <c r="H86" s="3">
        <v>11.33</v>
      </c>
      <c r="I86" s="3"/>
      <c r="J86" s="3"/>
      <c r="L86" t="s">
        <v>227</v>
      </c>
      <c r="M86">
        <v>8</v>
      </c>
      <c r="N86">
        <f>$M86*1.7*1000</f>
        <v>13600</v>
      </c>
      <c r="O86">
        <v>600</v>
      </c>
      <c r="P86">
        <v>260</v>
      </c>
      <c r="Q86" s="7"/>
      <c r="R86" s="7"/>
      <c r="S86" s="8">
        <v>20</v>
      </c>
      <c r="T86">
        <v>20</v>
      </c>
      <c r="U86">
        <v>20</v>
      </c>
      <c r="AC86" s="11"/>
      <c r="AD86" s="11"/>
      <c r="AE86" s="11"/>
      <c r="AF86" s="11"/>
      <c r="AG86" s="12"/>
      <c r="AH86">
        <v>15</v>
      </c>
      <c r="AI86">
        <v>15</v>
      </c>
      <c r="AJ86">
        <v>15</v>
      </c>
      <c r="AV86" s="9"/>
      <c r="AW86">
        <v>1</v>
      </c>
      <c r="AX86">
        <v>1</v>
      </c>
      <c r="AY86">
        <v>1</v>
      </c>
      <c r="AZ86" s="22"/>
      <c r="BA86" s="22"/>
      <c r="BB86" s="22"/>
      <c r="BC86" s="22"/>
      <c r="BD86" s="22"/>
      <c r="BE86" s="22"/>
      <c r="BF86" s="22"/>
      <c r="BG86" s="22"/>
      <c r="BH86" s="22"/>
      <c r="BI86" s="22"/>
    </row>
    <row r="87" spans="2:61" ht="15.75" customHeight="1" x14ac:dyDescent="0.25">
      <c r="B87" s="14" t="s">
        <v>228</v>
      </c>
      <c r="C87">
        <v>555</v>
      </c>
      <c r="D87">
        <v>50.3</v>
      </c>
      <c r="E87">
        <v>42.27</v>
      </c>
      <c r="F87">
        <v>-0.28499999999999998</v>
      </c>
      <c r="G87" s="3">
        <v>13.13</v>
      </c>
      <c r="H87" s="3">
        <v>14.1</v>
      </c>
      <c r="I87" s="3"/>
      <c r="J87" s="3"/>
      <c r="L87" t="s">
        <v>229</v>
      </c>
      <c r="M87">
        <v>8</v>
      </c>
      <c r="N87">
        <f>$M87*1000*1.5</f>
        <v>12000</v>
      </c>
      <c r="O87">
        <v>600</v>
      </c>
      <c r="P87">
        <v>260</v>
      </c>
      <c r="Q87" s="4"/>
      <c r="R87" s="4"/>
      <c r="S87" s="8">
        <v>20</v>
      </c>
      <c r="T87">
        <v>20</v>
      </c>
      <c r="U87">
        <v>20</v>
      </c>
      <c r="AC87" s="11"/>
      <c r="AD87" s="11"/>
      <c r="AE87" s="11"/>
      <c r="AF87" s="11"/>
      <c r="AG87" s="12"/>
      <c r="AH87">
        <v>15</v>
      </c>
      <c r="AI87">
        <v>15</v>
      </c>
      <c r="AJ87">
        <v>15</v>
      </c>
      <c r="AV87" s="9"/>
      <c r="AW87">
        <v>1</v>
      </c>
      <c r="AX87">
        <v>1</v>
      </c>
      <c r="AY87">
        <v>1</v>
      </c>
      <c r="AZ87" s="22"/>
      <c r="BA87" s="22"/>
      <c r="BB87" s="22"/>
      <c r="BC87" s="22"/>
      <c r="BD87" s="22"/>
      <c r="BE87" s="22"/>
      <c r="BF87" s="22"/>
      <c r="BG87" s="22"/>
      <c r="BH87" s="22"/>
      <c r="BI87" s="22"/>
    </row>
    <row r="88" spans="2:61" ht="15.75" customHeight="1" x14ac:dyDescent="0.25">
      <c r="B88" t="s">
        <v>230</v>
      </c>
      <c r="C88" s="3">
        <v>610</v>
      </c>
      <c r="D88" s="3">
        <v>48.63</v>
      </c>
      <c r="E88" s="3">
        <v>40.56</v>
      </c>
      <c r="F88" s="3">
        <v>-0.26</v>
      </c>
      <c r="G88" s="3">
        <v>15.04</v>
      </c>
      <c r="H88" s="3">
        <v>16.010000000000002</v>
      </c>
      <c r="I88" s="3"/>
      <c r="J88" s="3"/>
      <c r="L88" t="s">
        <v>231</v>
      </c>
      <c r="M88">
        <v>3.6</v>
      </c>
      <c r="N88">
        <v>7200</v>
      </c>
      <c r="O88">
        <v>600</v>
      </c>
      <c r="P88">
        <v>40</v>
      </c>
      <c r="Q88" s="7">
        <v>219935</v>
      </c>
      <c r="R88" s="7" t="s">
        <v>63</v>
      </c>
      <c r="S88" s="5">
        <v>25</v>
      </c>
      <c r="AG88" s="6"/>
      <c r="AH88">
        <v>20</v>
      </c>
      <c r="AI88">
        <v>20</v>
      </c>
      <c r="AV88" s="6"/>
      <c r="AW88">
        <v>1</v>
      </c>
    </row>
    <row r="89" spans="2:61" ht="15.75" customHeight="1" x14ac:dyDescent="0.25">
      <c r="B89" t="s">
        <v>232</v>
      </c>
      <c r="C89" s="3">
        <v>610</v>
      </c>
      <c r="D89" s="3">
        <v>52.55</v>
      </c>
      <c r="E89" s="3">
        <v>44.11</v>
      </c>
      <c r="F89">
        <v>-0.25</v>
      </c>
      <c r="G89" s="3">
        <v>13.83</v>
      </c>
      <c r="H89" s="3">
        <v>14.69</v>
      </c>
      <c r="I89" s="3"/>
      <c r="J89" s="3"/>
      <c r="L89" t="s">
        <v>233</v>
      </c>
      <c r="M89">
        <v>5.5</v>
      </c>
      <c r="N89">
        <v>8000</v>
      </c>
      <c r="O89">
        <v>600</v>
      </c>
      <c r="P89">
        <v>80</v>
      </c>
      <c r="Q89" s="4">
        <v>219936</v>
      </c>
      <c r="R89" s="4" t="s">
        <v>63</v>
      </c>
      <c r="S89" s="5">
        <v>24</v>
      </c>
      <c r="T89">
        <v>24</v>
      </c>
      <c r="AG89" s="6"/>
      <c r="AH89">
        <v>18</v>
      </c>
      <c r="AI89">
        <v>18</v>
      </c>
      <c r="AV89" s="6"/>
      <c r="AW89">
        <v>1</v>
      </c>
      <c r="AX89">
        <v>1</v>
      </c>
    </row>
    <row r="90" spans="2:61" ht="15.75" customHeight="1" x14ac:dyDescent="0.25">
      <c r="B90" t="s">
        <v>234</v>
      </c>
      <c r="C90">
        <v>460</v>
      </c>
      <c r="D90">
        <v>41.8</v>
      </c>
      <c r="E90">
        <v>35.11</v>
      </c>
      <c r="F90">
        <v>-0.28000000000000003</v>
      </c>
      <c r="G90" s="3">
        <v>13.11</v>
      </c>
      <c r="H90" s="3">
        <v>13.93</v>
      </c>
      <c r="I90" s="3"/>
      <c r="J90" s="3"/>
      <c r="L90" t="s">
        <v>235</v>
      </c>
      <c r="M90">
        <v>6.6</v>
      </c>
      <c r="N90">
        <v>9600</v>
      </c>
      <c r="O90">
        <v>600</v>
      </c>
      <c r="P90">
        <v>80</v>
      </c>
      <c r="Q90" s="7">
        <v>219938</v>
      </c>
      <c r="R90" s="7" t="s">
        <v>63</v>
      </c>
      <c r="S90" s="5">
        <v>24</v>
      </c>
      <c r="T90">
        <v>24</v>
      </c>
      <c r="AG90" s="6"/>
      <c r="AH90">
        <v>18</v>
      </c>
      <c r="AI90">
        <v>18</v>
      </c>
      <c r="AV90" s="6"/>
      <c r="AW90">
        <v>1</v>
      </c>
      <c r="AX90">
        <v>1</v>
      </c>
    </row>
    <row r="91" spans="2:61" ht="15.75" customHeight="1" x14ac:dyDescent="0.25">
      <c r="B91" s="3" t="s">
        <v>236</v>
      </c>
      <c r="C91">
        <v>605</v>
      </c>
      <c r="D91">
        <v>47.39</v>
      </c>
      <c r="E91">
        <v>39.799999999999997</v>
      </c>
      <c r="F91" s="3">
        <v>-0.25</v>
      </c>
      <c r="G91">
        <v>15.2</v>
      </c>
      <c r="H91">
        <v>16.16</v>
      </c>
      <c r="I91">
        <v>228604</v>
      </c>
      <c r="J91" t="s">
        <v>63</v>
      </c>
      <c r="L91" t="s">
        <v>237</v>
      </c>
      <c r="M91">
        <v>7.3</v>
      </c>
      <c r="N91">
        <v>12000</v>
      </c>
      <c r="O91">
        <v>600</v>
      </c>
      <c r="P91">
        <v>80</v>
      </c>
      <c r="Q91" s="10">
        <v>219939</v>
      </c>
      <c r="R91" s="10" t="s">
        <v>63</v>
      </c>
      <c r="S91" s="5">
        <v>24</v>
      </c>
      <c r="T91">
        <v>24</v>
      </c>
      <c r="AG91" s="6"/>
      <c r="AH91">
        <v>18</v>
      </c>
      <c r="AI91">
        <v>18</v>
      </c>
      <c r="AV91" s="6"/>
      <c r="AW91">
        <v>1</v>
      </c>
      <c r="AX91">
        <v>1</v>
      </c>
    </row>
    <row r="92" spans="2:61" ht="15.75" customHeight="1" x14ac:dyDescent="0.25">
      <c r="B92" t="s">
        <v>238</v>
      </c>
      <c r="C92" s="3">
        <v>700</v>
      </c>
      <c r="D92">
        <v>49.77</v>
      </c>
      <c r="E92">
        <v>41.78</v>
      </c>
      <c r="F92" s="3">
        <v>-0.22</v>
      </c>
      <c r="G92" s="3">
        <v>16.760000000000002</v>
      </c>
      <c r="H92" s="3">
        <v>17.809999999999999</v>
      </c>
      <c r="I92" s="3"/>
      <c r="J92" s="3"/>
      <c r="L92" t="s">
        <v>239</v>
      </c>
      <c r="M92">
        <v>5</v>
      </c>
      <c r="N92">
        <v>10000</v>
      </c>
      <c r="O92">
        <v>560</v>
      </c>
      <c r="P92">
        <v>50</v>
      </c>
      <c r="Q92" s="7">
        <v>181490</v>
      </c>
      <c r="R92" s="7" t="s">
        <v>63</v>
      </c>
      <c r="S92" s="8">
        <v>30</v>
      </c>
      <c r="T92">
        <v>30</v>
      </c>
      <c r="AG92" s="9"/>
      <c r="AH92" s="11">
        <v>20</v>
      </c>
      <c r="AI92" s="11">
        <v>20</v>
      </c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2"/>
      <c r="AW92">
        <v>1</v>
      </c>
      <c r="AX92">
        <v>1</v>
      </c>
    </row>
    <row r="93" spans="2:61" ht="15.75" customHeight="1" x14ac:dyDescent="0.25">
      <c r="B93" s="14" t="s">
        <v>240</v>
      </c>
      <c r="C93">
        <v>560</v>
      </c>
      <c r="D93">
        <v>50.1</v>
      </c>
      <c r="E93">
        <v>42.25</v>
      </c>
      <c r="F93">
        <v>-0.27</v>
      </c>
      <c r="G93" s="3">
        <v>13.25</v>
      </c>
      <c r="H93" s="3">
        <v>14.01</v>
      </c>
      <c r="I93" s="3"/>
      <c r="J93" s="3"/>
      <c r="L93" t="s">
        <v>241</v>
      </c>
      <c r="M93">
        <v>7.5</v>
      </c>
      <c r="N93">
        <v>15000</v>
      </c>
      <c r="O93">
        <v>560</v>
      </c>
      <c r="P93">
        <v>50</v>
      </c>
      <c r="Q93" s="4">
        <v>181492</v>
      </c>
      <c r="R93" s="4" t="s">
        <v>63</v>
      </c>
      <c r="S93" s="8">
        <v>30</v>
      </c>
      <c r="T93">
        <v>30</v>
      </c>
      <c r="AG93" s="9"/>
      <c r="AH93">
        <v>20</v>
      </c>
      <c r="AI93">
        <v>20</v>
      </c>
      <c r="AV93" s="9"/>
      <c r="AW93">
        <v>1</v>
      </c>
      <c r="AX93">
        <v>1</v>
      </c>
    </row>
    <row r="94" spans="2:61" ht="15.75" customHeight="1" x14ac:dyDescent="0.25">
      <c r="B94" t="s">
        <v>242</v>
      </c>
      <c r="C94">
        <v>545</v>
      </c>
      <c r="D94">
        <v>49.75</v>
      </c>
      <c r="E94">
        <v>41.8</v>
      </c>
      <c r="F94">
        <v>-0.32</v>
      </c>
      <c r="G94" s="3">
        <v>13.04</v>
      </c>
      <c r="H94" s="3">
        <v>13.93</v>
      </c>
      <c r="I94" s="3"/>
      <c r="J94" s="3"/>
      <c r="L94" t="s">
        <v>243</v>
      </c>
      <c r="M94">
        <v>2.2000000000000002</v>
      </c>
      <c r="N94">
        <f>$M94*1.6*1000+200</f>
        <v>3720.0000000000005</v>
      </c>
      <c r="O94">
        <v>550</v>
      </c>
      <c r="P94">
        <v>70</v>
      </c>
      <c r="Q94" s="7"/>
      <c r="R94" s="7"/>
      <c r="S94" s="13">
        <v>20</v>
      </c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2"/>
      <c r="AH94" s="11">
        <v>14</v>
      </c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2"/>
      <c r="AW94">
        <v>1</v>
      </c>
    </row>
    <row r="95" spans="2:61" ht="15.75" customHeight="1" x14ac:dyDescent="0.25">
      <c r="B95" t="s">
        <v>244</v>
      </c>
      <c r="C95" s="3">
        <v>700</v>
      </c>
      <c r="D95">
        <v>49.83</v>
      </c>
      <c r="E95">
        <v>41.78</v>
      </c>
      <c r="F95" s="3">
        <v>-0.22</v>
      </c>
      <c r="G95" s="3">
        <v>16.77</v>
      </c>
      <c r="H95" s="3">
        <v>17.82</v>
      </c>
      <c r="I95" s="3"/>
      <c r="J95" s="3"/>
      <c r="L95" t="s">
        <v>245</v>
      </c>
      <c r="M95">
        <v>10</v>
      </c>
      <c r="N95">
        <v>15000</v>
      </c>
      <c r="O95">
        <v>550</v>
      </c>
      <c r="P95">
        <v>90</v>
      </c>
      <c r="Q95" s="4"/>
      <c r="R95" s="4"/>
      <c r="S95" s="13">
        <v>30</v>
      </c>
      <c r="T95" s="11">
        <v>15</v>
      </c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2"/>
      <c r="AH95" s="11">
        <v>26</v>
      </c>
      <c r="AI95" s="11">
        <v>13</v>
      </c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2"/>
      <c r="AW95">
        <v>2</v>
      </c>
      <c r="AX95">
        <v>1</v>
      </c>
    </row>
    <row r="96" spans="2:61" ht="15.75" customHeight="1" x14ac:dyDescent="0.25">
      <c r="B96" t="s">
        <v>246</v>
      </c>
      <c r="C96" s="3">
        <v>570</v>
      </c>
      <c r="D96" s="3">
        <v>51.07</v>
      </c>
      <c r="E96" s="3">
        <v>42.29</v>
      </c>
      <c r="F96" s="3">
        <v>-0.25</v>
      </c>
      <c r="G96" s="3">
        <v>13.48</v>
      </c>
      <c r="H96" s="3">
        <v>14.25</v>
      </c>
      <c r="I96" s="3"/>
      <c r="J96" s="3"/>
      <c r="L96" t="s">
        <v>247</v>
      </c>
      <c r="M96">
        <v>10</v>
      </c>
      <c r="N96">
        <v>15000</v>
      </c>
      <c r="O96">
        <v>600</v>
      </c>
      <c r="P96">
        <v>90</v>
      </c>
      <c r="Q96" s="7"/>
      <c r="R96" s="7"/>
      <c r="S96" s="8">
        <v>20</v>
      </c>
      <c r="T96">
        <v>20</v>
      </c>
      <c r="U96">
        <v>20</v>
      </c>
      <c r="AG96" s="9"/>
      <c r="AH96">
        <v>16</v>
      </c>
      <c r="AI96">
        <v>16</v>
      </c>
      <c r="AJ96">
        <v>16</v>
      </c>
      <c r="AV96" s="9"/>
      <c r="AW96">
        <v>1</v>
      </c>
      <c r="AX96">
        <v>1</v>
      </c>
      <c r="AY96">
        <v>1</v>
      </c>
    </row>
    <row r="97" spans="2:52" ht="15.75" customHeight="1" x14ac:dyDescent="0.25">
      <c r="B97" t="s">
        <v>246</v>
      </c>
      <c r="C97">
        <v>570</v>
      </c>
      <c r="D97">
        <v>51.07</v>
      </c>
      <c r="E97">
        <v>42.29</v>
      </c>
      <c r="F97">
        <v>-0.25</v>
      </c>
      <c r="G97">
        <v>13.48</v>
      </c>
      <c r="H97">
        <v>14.25</v>
      </c>
      <c r="L97" t="s">
        <v>248</v>
      </c>
      <c r="M97">
        <v>3.3</v>
      </c>
      <c r="N97">
        <f>$M97*1.6*1000+200</f>
        <v>5480</v>
      </c>
      <c r="O97">
        <v>550</v>
      </c>
      <c r="P97">
        <v>70</v>
      </c>
      <c r="Q97" s="10"/>
      <c r="R97" s="10"/>
      <c r="S97" s="13">
        <v>20</v>
      </c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2"/>
      <c r="AH97" s="11">
        <v>14</v>
      </c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2"/>
      <c r="AW97">
        <v>1</v>
      </c>
    </row>
    <row r="98" spans="2:52" ht="15.75" customHeight="1" x14ac:dyDescent="0.25">
      <c r="B98" s="3" t="s">
        <v>249</v>
      </c>
      <c r="C98" s="3">
        <v>585</v>
      </c>
      <c r="D98" s="3">
        <v>51.5</v>
      </c>
      <c r="E98" s="3">
        <v>43.27</v>
      </c>
      <c r="F98" s="3">
        <v>-0.25</v>
      </c>
      <c r="G98" s="3">
        <v>13.52</v>
      </c>
      <c r="H98" s="3">
        <v>14.45</v>
      </c>
      <c r="I98" s="3"/>
      <c r="J98" s="3"/>
      <c r="L98" t="s">
        <v>250</v>
      </c>
      <c r="M98">
        <v>3</v>
      </c>
      <c r="N98">
        <v>4950</v>
      </c>
      <c r="O98">
        <v>600</v>
      </c>
      <c r="P98">
        <v>90</v>
      </c>
      <c r="Q98" s="7"/>
      <c r="R98" s="7"/>
      <c r="S98" s="13">
        <v>15</v>
      </c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2"/>
      <c r="AH98" s="11">
        <v>12.5</v>
      </c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2"/>
      <c r="AW98">
        <v>1</v>
      </c>
    </row>
    <row r="99" spans="2:52" ht="15.75" customHeight="1" x14ac:dyDescent="0.25">
      <c r="B99" t="s">
        <v>251</v>
      </c>
      <c r="C99" s="3">
        <v>700</v>
      </c>
      <c r="D99" s="3">
        <v>49.77</v>
      </c>
      <c r="E99" s="3">
        <v>41.78</v>
      </c>
      <c r="F99" s="3">
        <v>-0.25</v>
      </c>
      <c r="G99" s="3">
        <v>16.760000000000002</v>
      </c>
      <c r="H99" s="3">
        <v>17.809999999999999</v>
      </c>
      <c r="I99" s="3"/>
      <c r="J99" s="3"/>
      <c r="L99" t="s">
        <v>252</v>
      </c>
      <c r="M99">
        <v>3</v>
      </c>
      <c r="N99">
        <v>4950</v>
      </c>
      <c r="O99">
        <v>500</v>
      </c>
      <c r="P99">
        <v>70</v>
      </c>
      <c r="Q99" s="4"/>
      <c r="R99" s="4"/>
      <c r="S99" s="13">
        <v>15</v>
      </c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2"/>
      <c r="AH99" s="11">
        <v>13</v>
      </c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2"/>
      <c r="AW99">
        <v>1</v>
      </c>
    </row>
    <row r="100" spans="2:52" ht="15.75" customHeight="1" x14ac:dyDescent="0.25">
      <c r="B100" s="14" t="s">
        <v>253</v>
      </c>
      <c r="C100" s="3">
        <v>550</v>
      </c>
      <c r="D100" s="3">
        <v>49.9</v>
      </c>
      <c r="E100" s="3">
        <v>41.96</v>
      </c>
      <c r="F100" s="3">
        <v>-0.26</v>
      </c>
      <c r="G100" s="3">
        <v>13.11</v>
      </c>
      <c r="H100" s="23">
        <v>14</v>
      </c>
      <c r="I100" s="23"/>
      <c r="J100" s="23"/>
      <c r="L100" t="s">
        <v>254</v>
      </c>
      <c r="M100">
        <v>5</v>
      </c>
      <c r="N100">
        <v>8250</v>
      </c>
      <c r="O100">
        <v>600</v>
      </c>
      <c r="P100">
        <v>90</v>
      </c>
      <c r="Q100" s="24"/>
      <c r="R100" s="24"/>
      <c r="S100" s="13">
        <v>15</v>
      </c>
      <c r="T100" s="11">
        <v>15</v>
      </c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2"/>
      <c r="AH100" s="11">
        <v>11</v>
      </c>
      <c r="AI100" s="11">
        <v>11</v>
      </c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2"/>
      <c r="AW100">
        <v>1</v>
      </c>
      <c r="AX100">
        <v>1</v>
      </c>
    </row>
    <row r="101" spans="2:52" ht="15.75" customHeight="1" x14ac:dyDescent="0.25">
      <c r="B101" s="14" t="s">
        <v>255</v>
      </c>
      <c r="C101" s="3">
        <v>550</v>
      </c>
      <c r="D101" s="3">
        <v>49.9</v>
      </c>
      <c r="E101" s="3">
        <v>41.96</v>
      </c>
      <c r="F101" s="3">
        <v>-0.26</v>
      </c>
      <c r="G101" s="3">
        <v>13.11</v>
      </c>
      <c r="H101" s="23">
        <v>14</v>
      </c>
      <c r="I101" s="23"/>
      <c r="J101" s="23"/>
      <c r="L101" t="s">
        <v>256</v>
      </c>
      <c r="M101">
        <v>5</v>
      </c>
      <c r="N101">
        <v>7500</v>
      </c>
      <c r="O101">
        <v>600</v>
      </c>
      <c r="P101">
        <v>90</v>
      </c>
      <c r="Q101" s="25"/>
      <c r="R101" s="25"/>
      <c r="S101" s="8">
        <v>20</v>
      </c>
      <c r="T101">
        <v>20</v>
      </c>
      <c r="AG101" s="9"/>
      <c r="AH101" s="11">
        <v>16</v>
      </c>
      <c r="AI101" s="11">
        <v>16</v>
      </c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2"/>
      <c r="AW101">
        <v>1</v>
      </c>
      <c r="AX101">
        <v>1</v>
      </c>
    </row>
    <row r="102" spans="2:52" ht="15.75" customHeight="1" x14ac:dyDescent="0.25">
      <c r="B102" t="s">
        <v>257</v>
      </c>
      <c r="C102">
        <v>560</v>
      </c>
      <c r="D102">
        <v>51.1</v>
      </c>
      <c r="E102">
        <v>42.4</v>
      </c>
      <c r="F102">
        <v>-0.26</v>
      </c>
      <c r="G102" s="3">
        <v>13.21</v>
      </c>
      <c r="H102" s="3">
        <v>13.95</v>
      </c>
      <c r="I102" s="3"/>
      <c r="J102" s="3"/>
      <c r="L102" t="s">
        <v>258</v>
      </c>
      <c r="M102">
        <v>5</v>
      </c>
      <c r="N102">
        <v>8250</v>
      </c>
      <c r="O102">
        <v>550</v>
      </c>
      <c r="P102">
        <v>90</v>
      </c>
      <c r="Q102" s="7"/>
      <c r="R102" s="7"/>
      <c r="S102" s="13">
        <v>15</v>
      </c>
      <c r="T102" s="11">
        <v>15</v>
      </c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2"/>
      <c r="AH102" s="11">
        <v>13</v>
      </c>
      <c r="AI102" s="11">
        <v>13</v>
      </c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2"/>
      <c r="AW102">
        <v>1</v>
      </c>
      <c r="AX102">
        <v>1</v>
      </c>
    </row>
    <row r="103" spans="2:52" ht="15.75" customHeight="1" x14ac:dyDescent="0.25">
      <c r="B103" t="s">
        <v>259</v>
      </c>
      <c r="C103">
        <v>505</v>
      </c>
      <c r="D103">
        <v>45.52</v>
      </c>
      <c r="E103">
        <v>37.479999999999997</v>
      </c>
      <c r="F103">
        <v>-0.28000000000000003</v>
      </c>
      <c r="G103" s="3">
        <v>13.48</v>
      </c>
      <c r="H103" s="3">
        <v>13.92</v>
      </c>
      <c r="I103" s="3"/>
      <c r="J103" s="3"/>
      <c r="L103" t="s">
        <v>260</v>
      </c>
      <c r="M103">
        <v>6</v>
      </c>
      <c r="N103">
        <v>9900</v>
      </c>
      <c r="O103">
        <v>600</v>
      </c>
      <c r="P103">
        <v>90</v>
      </c>
      <c r="Q103" s="4"/>
      <c r="R103" s="4"/>
      <c r="S103" s="13">
        <v>15</v>
      </c>
      <c r="T103" s="11">
        <v>15</v>
      </c>
      <c r="U103" s="11"/>
      <c r="V103" s="11"/>
      <c r="W103" s="11"/>
      <c r="X103" s="11"/>
      <c r="Y103" s="11"/>
      <c r="Z103" s="11"/>
      <c r="AA103" s="11"/>
      <c r="AB103" s="11"/>
      <c r="AC103" s="11"/>
      <c r="AD103" s="11"/>
      <c r="AE103" s="11"/>
      <c r="AF103" s="11"/>
      <c r="AG103" s="12"/>
      <c r="AH103" s="11">
        <v>11</v>
      </c>
      <c r="AI103" s="11">
        <v>11</v>
      </c>
      <c r="AJ103" s="11"/>
      <c r="AK103" s="11"/>
      <c r="AL103" s="11"/>
      <c r="AM103" s="11"/>
      <c r="AN103" s="11"/>
      <c r="AO103" s="11"/>
      <c r="AP103" s="11"/>
      <c r="AQ103" s="11"/>
      <c r="AR103" s="11"/>
      <c r="AS103" s="11"/>
      <c r="AT103" s="11"/>
      <c r="AU103" s="11"/>
      <c r="AV103" s="12"/>
      <c r="AW103">
        <v>1</v>
      </c>
      <c r="AX103">
        <v>1</v>
      </c>
    </row>
    <row r="104" spans="2:52" ht="15.75" customHeight="1" x14ac:dyDescent="0.25">
      <c r="B104" t="s">
        <v>261</v>
      </c>
      <c r="C104">
        <v>450</v>
      </c>
      <c r="D104">
        <v>49.75</v>
      </c>
      <c r="E104">
        <v>41</v>
      </c>
      <c r="F104">
        <v>-0.33</v>
      </c>
      <c r="G104" s="3">
        <v>10.98</v>
      </c>
      <c r="H104" s="3">
        <v>11.55</v>
      </c>
      <c r="I104" s="3"/>
      <c r="J104" s="3"/>
      <c r="L104" t="s">
        <v>262</v>
      </c>
      <c r="M104">
        <v>6</v>
      </c>
      <c r="N104">
        <f>$M104*1.6*1000+200</f>
        <v>9800.0000000000018</v>
      </c>
      <c r="O104">
        <v>550</v>
      </c>
      <c r="P104">
        <v>90</v>
      </c>
      <c r="Q104" s="7"/>
      <c r="R104" s="7"/>
      <c r="S104" s="13">
        <v>20</v>
      </c>
      <c r="T104" s="11">
        <v>20</v>
      </c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2"/>
      <c r="AH104" s="11">
        <v>14</v>
      </c>
      <c r="AI104" s="11">
        <v>14</v>
      </c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2"/>
      <c r="AW104">
        <v>1</v>
      </c>
      <c r="AX104">
        <v>1</v>
      </c>
    </row>
    <row r="105" spans="2:52" ht="15.75" customHeight="1" x14ac:dyDescent="0.25">
      <c r="B105" t="s">
        <v>263</v>
      </c>
      <c r="C105">
        <v>550</v>
      </c>
      <c r="D105">
        <v>50</v>
      </c>
      <c r="E105">
        <v>41.9</v>
      </c>
      <c r="F105">
        <v>-0.28999999999999998</v>
      </c>
      <c r="G105" s="3">
        <v>13.13</v>
      </c>
      <c r="H105" s="3">
        <v>13.75</v>
      </c>
      <c r="I105" s="3"/>
      <c r="J105" s="3"/>
      <c r="L105" t="s">
        <v>264</v>
      </c>
      <c r="M105">
        <v>6</v>
      </c>
      <c r="N105">
        <v>9000</v>
      </c>
      <c r="O105">
        <v>600</v>
      </c>
      <c r="P105">
        <v>90</v>
      </c>
      <c r="Q105" s="4"/>
      <c r="R105" s="4"/>
      <c r="S105" s="8">
        <v>20</v>
      </c>
      <c r="T105">
        <v>20</v>
      </c>
      <c r="AG105" s="9"/>
      <c r="AH105" s="11">
        <v>16</v>
      </c>
      <c r="AI105" s="11">
        <v>16</v>
      </c>
      <c r="AV105" s="9"/>
      <c r="AW105">
        <v>1</v>
      </c>
      <c r="AX105">
        <v>1</v>
      </c>
    </row>
    <row r="106" spans="2:52" ht="15.75" customHeight="1" x14ac:dyDescent="0.25">
      <c r="B106" t="s">
        <v>265</v>
      </c>
      <c r="C106">
        <v>440</v>
      </c>
      <c r="D106">
        <v>49.6</v>
      </c>
      <c r="E106">
        <v>40.799999999999997</v>
      </c>
      <c r="F106">
        <v>-0.33</v>
      </c>
      <c r="G106" s="3">
        <v>10.78</v>
      </c>
      <c r="H106" s="3">
        <v>11.34</v>
      </c>
      <c r="I106" s="3"/>
      <c r="J106" s="3"/>
      <c r="L106" t="s">
        <v>266</v>
      </c>
      <c r="M106">
        <v>6</v>
      </c>
      <c r="N106">
        <v>9900</v>
      </c>
      <c r="O106">
        <v>550</v>
      </c>
      <c r="P106">
        <v>90</v>
      </c>
      <c r="Q106" s="7"/>
      <c r="R106" s="7"/>
      <c r="S106" s="13">
        <v>15</v>
      </c>
      <c r="T106" s="11">
        <v>15</v>
      </c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2"/>
      <c r="AH106" s="11">
        <v>13</v>
      </c>
      <c r="AI106" s="11">
        <v>13</v>
      </c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2"/>
      <c r="AW106">
        <v>1</v>
      </c>
      <c r="AX106">
        <v>1</v>
      </c>
    </row>
    <row r="107" spans="2:52" ht="15.75" customHeight="1" x14ac:dyDescent="0.25">
      <c r="B107" t="s">
        <v>267</v>
      </c>
      <c r="C107">
        <v>505</v>
      </c>
      <c r="D107">
        <v>45.8</v>
      </c>
      <c r="E107">
        <v>38.4</v>
      </c>
      <c r="F107">
        <v>-0.33</v>
      </c>
      <c r="G107" s="3">
        <v>13.15</v>
      </c>
      <c r="H107" s="3">
        <v>13.84</v>
      </c>
      <c r="I107" s="3"/>
      <c r="J107" s="3"/>
      <c r="L107" t="s">
        <v>268</v>
      </c>
      <c r="M107">
        <v>7</v>
      </c>
      <c r="N107">
        <v>11250</v>
      </c>
      <c r="O107">
        <v>600</v>
      </c>
      <c r="P107">
        <v>90</v>
      </c>
      <c r="Q107" s="4"/>
      <c r="R107" s="4"/>
      <c r="S107" s="8">
        <v>20</v>
      </c>
      <c r="T107">
        <v>20</v>
      </c>
      <c r="U107">
        <v>20</v>
      </c>
      <c r="AG107" s="9"/>
      <c r="AH107" s="11">
        <v>16</v>
      </c>
      <c r="AI107" s="11">
        <v>16</v>
      </c>
      <c r="AJ107" s="11">
        <v>16</v>
      </c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2"/>
      <c r="AW107">
        <v>1</v>
      </c>
      <c r="AX107">
        <v>1</v>
      </c>
      <c r="AY107">
        <v>1</v>
      </c>
    </row>
    <row r="108" spans="2:52" ht="15.75" customHeight="1" x14ac:dyDescent="0.25">
      <c r="B108" t="s">
        <v>269</v>
      </c>
      <c r="C108">
        <v>545</v>
      </c>
      <c r="D108">
        <v>49.81</v>
      </c>
      <c r="E108">
        <v>41.8</v>
      </c>
      <c r="F108">
        <v>-0.27</v>
      </c>
      <c r="G108" s="3">
        <v>13.04</v>
      </c>
      <c r="H108" s="23">
        <v>13.92</v>
      </c>
      <c r="I108" s="23"/>
      <c r="J108" s="23"/>
      <c r="L108" t="s">
        <v>270</v>
      </c>
      <c r="M108">
        <v>8</v>
      </c>
      <c r="N108">
        <v>13200</v>
      </c>
      <c r="O108">
        <v>550</v>
      </c>
      <c r="P108" s="6">
        <v>90</v>
      </c>
      <c r="Q108" s="24"/>
      <c r="R108" s="24"/>
      <c r="S108" s="11">
        <v>30</v>
      </c>
      <c r="T108" s="11">
        <v>15</v>
      </c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2"/>
      <c r="AH108" s="11">
        <v>26</v>
      </c>
      <c r="AI108" s="11">
        <v>13</v>
      </c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2"/>
      <c r="AW108">
        <v>2</v>
      </c>
      <c r="AX108">
        <v>1</v>
      </c>
    </row>
    <row r="109" spans="2:52" ht="15.75" customHeight="1" x14ac:dyDescent="0.25">
      <c r="B109" t="s">
        <v>271</v>
      </c>
      <c r="C109" s="3">
        <v>640</v>
      </c>
      <c r="D109" s="3">
        <v>57.4</v>
      </c>
      <c r="E109" s="3">
        <v>48.71</v>
      </c>
      <c r="F109" s="3">
        <v>-0.24</v>
      </c>
      <c r="G109" s="3">
        <v>13.14</v>
      </c>
      <c r="H109" s="3">
        <v>13.98</v>
      </c>
      <c r="I109" s="3"/>
      <c r="J109" s="3"/>
      <c r="L109" t="s">
        <v>272</v>
      </c>
      <c r="M109">
        <v>8</v>
      </c>
      <c r="N109">
        <f>$M109*1.6*1000+200</f>
        <v>13000</v>
      </c>
      <c r="O109">
        <v>550</v>
      </c>
      <c r="P109" s="6">
        <v>120</v>
      </c>
      <c r="Q109" s="4"/>
      <c r="R109" s="4"/>
      <c r="S109" s="11">
        <v>25</v>
      </c>
      <c r="T109" s="11">
        <v>25</v>
      </c>
      <c r="U109" s="11">
        <v>30</v>
      </c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3">
        <v>16</v>
      </c>
      <c r="AI109" s="11">
        <v>16</v>
      </c>
      <c r="AJ109" s="11">
        <v>20</v>
      </c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2"/>
      <c r="AW109">
        <v>1</v>
      </c>
      <c r="AX109">
        <v>1</v>
      </c>
      <c r="AY109">
        <v>1</v>
      </c>
    </row>
    <row r="110" spans="2:52" ht="15.75" customHeight="1" x14ac:dyDescent="0.25">
      <c r="B110" t="s">
        <v>273</v>
      </c>
      <c r="C110">
        <v>620</v>
      </c>
      <c r="D110">
        <v>48.34</v>
      </c>
      <c r="E110">
        <v>40.479999999999997</v>
      </c>
      <c r="F110">
        <v>-0.25</v>
      </c>
      <c r="G110">
        <v>15.33</v>
      </c>
      <c r="H110">
        <v>16.21</v>
      </c>
      <c r="I110">
        <v>213692</v>
      </c>
      <c r="J110" t="s">
        <v>63</v>
      </c>
      <c r="L110" t="s">
        <v>274</v>
      </c>
      <c r="M110">
        <v>8</v>
      </c>
      <c r="N110">
        <v>12000</v>
      </c>
      <c r="O110">
        <v>600</v>
      </c>
      <c r="P110" s="6">
        <v>90</v>
      </c>
      <c r="Q110" s="15"/>
      <c r="R110" s="15"/>
      <c r="S110" s="3">
        <v>20</v>
      </c>
      <c r="T110">
        <v>20</v>
      </c>
      <c r="U110">
        <v>20</v>
      </c>
      <c r="AG110" s="3"/>
      <c r="AH110" s="13">
        <v>16</v>
      </c>
      <c r="AI110" s="11">
        <v>16</v>
      </c>
      <c r="AJ110" s="11">
        <v>16</v>
      </c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2"/>
      <c r="AW110">
        <v>1</v>
      </c>
      <c r="AX110">
        <v>1</v>
      </c>
      <c r="AY110">
        <v>1</v>
      </c>
    </row>
    <row r="111" spans="2:52" ht="15.75" customHeight="1" x14ac:dyDescent="0.25">
      <c r="B111" t="s">
        <v>275</v>
      </c>
      <c r="C111" s="3">
        <v>415</v>
      </c>
      <c r="D111" s="3">
        <v>40.700000000000003</v>
      </c>
      <c r="E111" s="3">
        <v>35.299999999999997</v>
      </c>
      <c r="F111" s="3">
        <v>-0.23</v>
      </c>
      <c r="G111" s="3">
        <v>11.75</v>
      </c>
      <c r="H111" s="3">
        <v>12.64</v>
      </c>
      <c r="I111" s="3">
        <v>206291</v>
      </c>
      <c r="J111" s="3" t="s">
        <v>63</v>
      </c>
      <c r="L111" t="s">
        <v>276</v>
      </c>
      <c r="M111">
        <v>25</v>
      </c>
      <c r="N111">
        <v>41250</v>
      </c>
      <c r="O111">
        <v>1000</v>
      </c>
      <c r="P111" s="6">
        <v>250</v>
      </c>
      <c r="Q111" s="4"/>
      <c r="R111" s="4"/>
      <c r="S111" s="11">
        <v>42</v>
      </c>
      <c r="T111" s="11">
        <v>42</v>
      </c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3">
        <v>37.5</v>
      </c>
      <c r="AI111" s="11">
        <v>37.5</v>
      </c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2"/>
      <c r="AW111" s="26">
        <v>3</v>
      </c>
      <c r="AX111" s="26">
        <v>3</v>
      </c>
      <c r="AY111" s="26"/>
      <c r="AZ111" s="26"/>
    </row>
    <row r="112" spans="2:52" ht="15.75" customHeight="1" x14ac:dyDescent="0.25">
      <c r="L112" t="s">
        <v>277</v>
      </c>
      <c r="M112">
        <v>30</v>
      </c>
      <c r="N112">
        <v>49500</v>
      </c>
      <c r="O112">
        <v>1000</v>
      </c>
      <c r="P112">
        <v>250</v>
      </c>
      <c r="Q112" s="15"/>
      <c r="R112" s="15"/>
      <c r="S112" s="13">
        <v>42</v>
      </c>
      <c r="T112" s="11">
        <v>42</v>
      </c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2"/>
      <c r="AH112" s="11">
        <v>37.5</v>
      </c>
      <c r="AI112" s="11">
        <v>37.5</v>
      </c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2"/>
      <c r="AW112">
        <v>3</v>
      </c>
      <c r="AX112">
        <v>3</v>
      </c>
    </row>
    <row r="113" spans="2:56" ht="15.75" customHeight="1" x14ac:dyDescent="0.25">
      <c r="L113" t="s">
        <v>278</v>
      </c>
      <c r="M113">
        <v>3</v>
      </c>
      <c r="N113">
        <v>3300</v>
      </c>
      <c r="O113">
        <v>500</v>
      </c>
      <c r="P113">
        <v>90</v>
      </c>
      <c r="Q113" s="4">
        <v>70396</v>
      </c>
      <c r="R113" s="4" t="s">
        <v>63</v>
      </c>
      <c r="S113" s="13">
        <v>17</v>
      </c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2"/>
      <c r="AH113" s="11">
        <v>14</v>
      </c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2"/>
      <c r="AW113">
        <v>1</v>
      </c>
    </row>
    <row r="114" spans="2:56" ht="15.75" customHeight="1" x14ac:dyDescent="0.25">
      <c r="L114" t="s">
        <v>279</v>
      </c>
      <c r="M114">
        <v>5</v>
      </c>
      <c r="N114">
        <v>5500</v>
      </c>
      <c r="O114">
        <v>500</v>
      </c>
      <c r="P114">
        <v>90</v>
      </c>
      <c r="Q114" s="15">
        <v>70397</v>
      </c>
      <c r="R114" s="15" t="s">
        <v>63</v>
      </c>
      <c r="S114" s="13">
        <v>31.25</v>
      </c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2"/>
      <c r="AH114" s="11">
        <v>25</v>
      </c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2"/>
      <c r="AW114">
        <v>2</v>
      </c>
    </row>
    <row r="115" spans="2:56" ht="15.75" customHeight="1" x14ac:dyDescent="0.25">
      <c r="L115" t="s">
        <v>280</v>
      </c>
      <c r="M115">
        <v>30</v>
      </c>
      <c r="N115">
        <v>60000</v>
      </c>
      <c r="O115">
        <v>800</v>
      </c>
      <c r="P115" s="6">
        <v>180</v>
      </c>
      <c r="Q115" s="4">
        <v>206193</v>
      </c>
      <c r="R115" s="4" t="s">
        <v>63</v>
      </c>
      <c r="S115">
        <v>60</v>
      </c>
      <c r="T115">
        <v>60</v>
      </c>
      <c r="U115">
        <v>60</v>
      </c>
      <c r="V115">
        <v>60</v>
      </c>
      <c r="AH115" s="5">
        <v>48</v>
      </c>
      <c r="AI115">
        <v>48</v>
      </c>
      <c r="AJ115">
        <v>48</v>
      </c>
      <c r="AK115">
        <v>48</v>
      </c>
      <c r="AV115" s="6"/>
      <c r="AW115" s="27">
        <v>2</v>
      </c>
      <c r="AX115" s="27">
        <v>2</v>
      </c>
      <c r="AY115" s="27">
        <v>2</v>
      </c>
      <c r="AZ115" s="27">
        <v>2</v>
      </c>
    </row>
    <row r="116" spans="2:56" ht="15.75" customHeight="1" x14ac:dyDescent="0.25">
      <c r="L116" t="s">
        <v>281</v>
      </c>
      <c r="M116">
        <v>30</v>
      </c>
      <c r="N116">
        <v>45000</v>
      </c>
      <c r="O116">
        <v>800</v>
      </c>
      <c r="P116" s="6">
        <v>180</v>
      </c>
      <c r="Q116" s="15"/>
      <c r="R116" s="15" t="s">
        <v>397</v>
      </c>
      <c r="S116">
        <v>60</v>
      </c>
      <c r="T116">
        <v>60</v>
      </c>
      <c r="U116">
        <v>60</v>
      </c>
      <c r="V116">
        <v>60</v>
      </c>
      <c r="AH116" s="5">
        <v>48</v>
      </c>
      <c r="AI116">
        <v>48</v>
      </c>
      <c r="AJ116">
        <v>48</v>
      </c>
      <c r="AK116">
        <v>48</v>
      </c>
      <c r="AV116" s="6"/>
      <c r="AW116">
        <v>2</v>
      </c>
      <c r="AX116">
        <v>2</v>
      </c>
      <c r="AY116">
        <v>2</v>
      </c>
      <c r="AZ116">
        <v>2</v>
      </c>
    </row>
    <row r="117" spans="2:56" ht="15.75" customHeight="1" x14ac:dyDescent="0.25">
      <c r="L117" t="s">
        <v>282</v>
      </c>
      <c r="M117">
        <v>50</v>
      </c>
      <c r="N117">
        <v>75000</v>
      </c>
      <c r="O117">
        <v>1100</v>
      </c>
      <c r="P117">
        <v>180</v>
      </c>
      <c r="Q117" s="4"/>
      <c r="R117" s="4"/>
      <c r="S117" s="5">
        <v>50</v>
      </c>
      <c r="T117">
        <v>50</v>
      </c>
      <c r="U117">
        <v>50</v>
      </c>
      <c r="V117">
        <v>50</v>
      </c>
      <c r="AG117" s="6"/>
      <c r="AH117">
        <v>40</v>
      </c>
      <c r="AI117">
        <v>40</v>
      </c>
      <c r="AJ117">
        <v>40</v>
      </c>
      <c r="AK117">
        <v>40</v>
      </c>
      <c r="AV117" s="6"/>
      <c r="AW117">
        <v>2</v>
      </c>
      <c r="AX117">
        <v>2</v>
      </c>
      <c r="AY117">
        <v>2</v>
      </c>
      <c r="AZ117">
        <v>2</v>
      </c>
    </row>
    <row r="118" spans="2:56" ht="15.75" customHeight="1" x14ac:dyDescent="0.25">
      <c r="L118" t="s">
        <v>283</v>
      </c>
      <c r="M118">
        <v>6</v>
      </c>
      <c r="N118">
        <v>9000</v>
      </c>
      <c r="O118">
        <v>550</v>
      </c>
      <c r="P118">
        <v>80</v>
      </c>
      <c r="Q118" s="15"/>
      <c r="R118" s="15"/>
      <c r="S118" s="5">
        <v>20</v>
      </c>
      <c r="T118">
        <v>20</v>
      </c>
      <c r="AG118" s="6"/>
      <c r="AH118">
        <v>16</v>
      </c>
      <c r="AI118">
        <v>16</v>
      </c>
      <c r="AV118" s="6"/>
      <c r="AW118">
        <v>1</v>
      </c>
      <c r="AX118">
        <v>1</v>
      </c>
    </row>
    <row r="119" spans="2:56" ht="15.75" customHeight="1" x14ac:dyDescent="0.25">
      <c r="L119" t="s">
        <v>284</v>
      </c>
      <c r="M119">
        <v>15</v>
      </c>
      <c r="N119" s="28">
        <v>25500</v>
      </c>
      <c r="O119">
        <v>800</v>
      </c>
      <c r="P119">
        <v>200</v>
      </c>
      <c r="Q119" s="4"/>
      <c r="R119" s="4"/>
      <c r="S119" s="8">
        <v>40</v>
      </c>
      <c r="T119">
        <v>40</v>
      </c>
      <c r="AG119" s="9"/>
      <c r="AH119" s="11">
        <v>32</v>
      </c>
      <c r="AI119" s="11">
        <v>32</v>
      </c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2"/>
      <c r="AW119">
        <v>2</v>
      </c>
      <c r="AX119">
        <v>2</v>
      </c>
    </row>
    <row r="120" spans="2:56" ht="15.75" customHeight="1" x14ac:dyDescent="0.25">
      <c r="L120" t="s">
        <v>285</v>
      </c>
      <c r="M120">
        <v>20</v>
      </c>
      <c r="N120">
        <v>34000</v>
      </c>
      <c r="O120">
        <v>1100</v>
      </c>
      <c r="P120">
        <v>200</v>
      </c>
      <c r="Q120" s="15"/>
      <c r="R120" s="15"/>
      <c r="S120" s="8">
        <v>40</v>
      </c>
      <c r="T120">
        <v>40</v>
      </c>
      <c r="AG120" s="9"/>
      <c r="AH120" s="11">
        <v>32</v>
      </c>
      <c r="AI120" s="11">
        <v>32</v>
      </c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2"/>
      <c r="AW120">
        <v>2</v>
      </c>
      <c r="AX120">
        <v>2</v>
      </c>
    </row>
    <row r="121" spans="2:56" ht="15.75" customHeight="1" x14ac:dyDescent="0.25">
      <c r="L121" t="s">
        <v>286</v>
      </c>
      <c r="M121">
        <v>20</v>
      </c>
      <c r="N121">
        <v>34000</v>
      </c>
      <c r="O121">
        <v>800</v>
      </c>
      <c r="P121">
        <v>160</v>
      </c>
      <c r="Q121" s="4">
        <v>195100</v>
      </c>
      <c r="R121" s="4" t="s">
        <v>63</v>
      </c>
      <c r="S121" s="8">
        <v>50</v>
      </c>
      <c r="T121">
        <v>50</v>
      </c>
      <c r="U121">
        <v>25</v>
      </c>
      <c r="V121">
        <v>25</v>
      </c>
      <c r="AG121" s="9"/>
      <c r="AH121">
        <v>40</v>
      </c>
      <c r="AI121">
        <v>40</v>
      </c>
      <c r="AJ121">
        <v>20</v>
      </c>
      <c r="AK121">
        <v>20</v>
      </c>
      <c r="AV121" s="9"/>
      <c r="AW121">
        <v>2</v>
      </c>
      <c r="AX121">
        <v>2</v>
      </c>
      <c r="AY121">
        <v>1</v>
      </c>
      <c r="AZ121">
        <v>1</v>
      </c>
    </row>
    <row r="122" spans="2:56" ht="15.75" customHeight="1" x14ac:dyDescent="0.25">
      <c r="L122" t="s">
        <v>287</v>
      </c>
      <c r="M122">
        <v>25</v>
      </c>
      <c r="N122">
        <v>42500</v>
      </c>
      <c r="O122">
        <v>1100</v>
      </c>
      <c r="P122">
        <v>200</v>
      </c>
      <c r="Q122" s="15"/>
      <c r="R122" s="15"/>
      <c r="S122" s="8">
        <v>40</v>
      </c>
      <c r="T122">
        <v>40</v>
      </c>
      <c r="AG122" s="9"/>
      <c r="AH122">
        <v>32</v>
      </c>
      <c r="AI122">
        <v>32</v>
      </c>
      <c r="AV122" s="9"/>
      <c r="AW122">
        <v>2</v>
      </c>
      <c r="AX122">
        <v>2</v>
      </c>
    </row>
    <row r="123" spans="2:56" ht="15.75" customHeight="1" x14ac:dyDescent="0.25">
      <c r="L123" t="s">
        <v>288</v>
      </c>
      <c r="M123">
        <v>25</v>
      </c>
      <c r="N123">
        <v>42500</v>
      </c>
      <c r="O123">
        <v>800</v>
      </c>
      <c r="P123">
        <v>160</v>
      </c>
      <c r="Q123" s="4"/>
      <c r="R123" s="4"/>
      <c r="S123" s="8">
        <v>50</v>
      </c>
      <c r="T123">
        <v>50</v>
      </c>
      <c r="U123">
        <v>25</v>
      </c>
      <c r="V123">
        <v>25</v>
      </c>
      <c r="AG123" s="3"/>
      <c r="AH123" s="13">
        <v>40</v>
      </c>
      <c r="AI123" s="11">
        <v>40</v>
      </c>
      <c r="AJ123" s="11">
        <v>20</v>
      </c>
      <c r="AK123" s="11">
        <v>20</v>
      </c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2"/>
      <c r="AW123">
        <v>2</v>
      </c>
      <c r="AX123">
        <v>2</v>
      </c>
      <c r="AY123">
        <v>1</v>
      </c>
      <c r="AZ123">
        <v>1</v>
      </c>
    </row>
    <row r="124" spans="2:56" ht="15.75" customHeight="1" x14ac:dyDescent="0.25">
      <c r="L124" t="s">
        <v>289</v>
      </c>
      <c r="M124">
        <v>30</v>
      </c>
      <c r="N124">
        <v>60000</v>
      </c>
      <c r="O124">
        <v>1100</v>
      </c>
      <c r="P124">
        <v>160</v>
      </c>
      <c r="Q124" s="15"/>
      <c r="R124" s="15"/>
      <c r="S124" s="8">
        <v>50</v>
      </c>
      <c r="T124">
        <v>40</v>
      </c>
      <c r="U124">
        <v>40</v>
      </c>
      <c r="AG124" s="9"/>
      <c r="AH124" s="11">
        <v>40</v>
      </c>
      <c r="AI124" s="11">
        <v>32</v>
      </c>
      <c r="AJ124" s="11">
        <v>32</v>
      </c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2"/>
      <c r="AW124">
        <v>2</v>
      </c>
      <c r="AX124">
        <v>2</v>
      </c>
      <c r="AY124">
        <v>2</v>
      </c>
    </row>
    <row r="125" spans="2:56" ht="15.75" customHeight="1" x14ac:dyDescent="0.25">
      <c r="L125" t="s">
        <v>290</v>
      </c>
      <c r="M125">
        <v>75</v>
      </c>
      <c r="N125">
        <v>127500</v>
      </c>
      <c r="O125">
        <v>800</v>
      </c>
      <c r="P125">
        <v>160</v>
      </c>
      <c r="Q125" s="4"/>
      <c r="R125" s="4"/>
      <c r="S125" s="8">
        <v>50</v>
      </c>
      <c r="T125">
        <v>50</v>
      </c>
      <c r="U125">
        <v>50</v>
      </c>
      <c r="V125">
        <v>50</v>
      </c>
      <c r="W125">
        <v>50</v>
      </c>
      <c r="X125">
        <v>50</v>
      </c>
      <c r="Y125">
        <v>50</v>
      </c>
      <c r="Z125">
        <v>50</v>
      </c>
      <c r="AG125" s="9"/>
      <c r="AH125">
        <v>40</v>
      </c>
      <c r="AI125">
        <v>40</v>
      </c>
      <c r="AJ125">
        <v>40</v>
      </c>
      <c r="AK125">
        <v>40</v>
      </c>
      <c r="AL125">
        <v>40</v>
      </c>
      <c r="AM125">
        <v>40</v>
      </c>
      <c r="AN125">
        <v>40</v>
      </c>
      <c r="AO125">
        <v>40</v>
      </c>
      <c r="AV125" s="9"/>
      <c r="AW125">
        <v>2</v>
      </c>
      <c r="AX125">
        <v>2</v>
      </c>
      <c r="AY125">
        <v>2</v>
      </c>
      <c r="AZ125">
        <v>2</v>
      </c>
      <c r="BA125">
        <v>2</v>
      </c>
      <c r="BB125">
        <v>2</v>
      </c>
      <c r="BC125">
        <v>2</v>
      </c>
      <c r="BD125">
        <v>2</v>
      </c>
    </row>
    <row r="126" spans="2:56" ht="15.75" customHeight="1" x14ac:dyDescent="0.25">
      <c r="L126" t="s">
        <v>291</v>
      </c>
      <c r="M126">
        <v>17</v>
      </c>
      <c r="N126">
        <v>25500</v>
      </c>
      <c r="O126">
        <v>1100</v>
      </c>
      <c r="P126">
        <v>200</v>
      </c>
      <c r="Q126" s="15"/>
      <c r="R126" s="15"/>
      <c r="S126" s="8">
        <v>30</v>
      </c>
      <c r="T126">
        <v>30</v>
      </c>
      <c r="AG126" s="9"/>
      <c r="AH126" s="11">
        <v>25</v>
      </c>
      <c r="AI126" s="11">
        <v>25</v>
      </c>
      <c r="AJ126" s="11"/>
      <c r="AK126" s="11"/>
      <c r="AL126" s="11"/>
      <c r="AM126" s="11"/>
      <c r="AN126" s="11"/>
      <c r="AO126" s="11"/>
      <c r="AP126" s="11"/>
      <c r="AQ126" s="11"/>
      <c r="AR126" s="11"/>
      <c r="AS126" s="11"/>
      <c r="AT126" s="11"/>
      <c r="AU126" s="11"/>
      <c r="AV126" s="12"/>
      <c r="AW126">
        <v>2</v>
      </c>
      <c r="AX126">
        <v>2</v>
      </c>
    </row>
    <row r="127" spans="2:56" ht="15.75" customHeight="1" x14ac:dyDescent="0.25">
      <c r="L127" t="s">
        <v>292</v>
      </c>
      <c r="M127">
        <v>25</v>
      </c>
      <c r="N127">
        <v>45000</v>
      </c>
      <c r="O127">
        <v>1000</v>
      </c>
      <c r="P127">
        <v>390</v>
      </c>
      <c r="Q127" s="4"/>
      <c r="R127" s="4"/>
      <c r="S127" s="13">
        <v>43</v>
      </c>
      <c r="T127" s="11">
        <v>43</v>
      </c>
      <c r="U127" s="11"/>
      <c r="V127" s="11"/>
      <c r="W127" s="11"/>
      <c r="X127" s="11"/>
      <c r="Y127" s="11"/>
      <c r="Z127" s="11"/>
      <c r="AA127" s="11"/>
      <c r="AB127" s="11"/>
      <c r="AC127" s="11"/>
      <c r="AD127" s="11"/>
      <c r="AE127" s="11"/>
      <c r="AF127" s="11"/>
      <c r="AG127" s="12"/>
      <c r="AH127" s="11">
        <v>33</v>
      </c>
      <c r="AI127" s="11">
        <v>33</v>
      </c>
      <c r="AJ127" s="11"/>
      <c r="AK127" s="11"/>
      <c r="AL127" s="11"/>
      <c r="AM127" s="11"/>
      <c r="AN127" s="11"/>
      <c r="AO127" s="11"/>
      <c r="AP127" s="11"/>
      <c r="AQ127" s="11"/>
      <c r="AR127" s="11"/>
      <c r="AS127" s="11"/>
      <c r="AT127" s="11"/>
      <c r="AU127" s="11"/>
      <c r="AV127" s="12"/>
      <c r="AW127">
        <v>3</v>
      </c>
      <c r="AX127">
        <v>3</v>
      </c>
    </row>
    <row r="128" spans="2:56" ht="15.75" customHeight="1" x14ac:dyDescent="0.25">
      <c r="B128" s="3"/>
      <c r="L128" t="s">
        <v>293</v>
      </c>
      <c r="M128">
        <v>50</v>
      </c>
      <c r="N128">
        <v>75000</v>
      </c>
      <c r="O128">
        <v>1000</v>
      </c>
      <c r="P128">
        <v>188</v>
      </c>
      <c r="Q128" s="15"/>
      <c r="R128" s="15"/>
      <c r="S128" s="13">
        <v>30</v>
      </c>
      <c r="T128" s="11">
        <v>30</v>
      </c>
      <c r="U128" s="11">
        <v>30</v>
      </c>
      <c r="V128" s="11">
        <v>30</v>
      </c>
      <c r="W128" s="11">
        <v>30</v>
      </c>
      <c r="X128" s="11">
        <v>30</v>
      </c>
      <c r="Y128" s="11"/>
      <c r="Z128" s="11"/>
      <c r="AA128" s="11"/>
      <c r="AB128" s="11"/>
      <c r="AC128" s="11"/>
      <c r="AD128" s="11"/>
      <c r="AE128" s="11"/>
      <c r="AF128" s="11"/>
      <c r="AG128" s="12"/>
      <c r="AH128" s="11">
        <v>20</v>
      </c>
      <c r="AI128" s="11">
        <v>20</v>
      </c>
      <c r="AJ128" s="11">
        <v>20</v>
      </c>
      <c r="AK128" s="11">
        <v>20</v>
      </c>
      <c r="AL128" s="11">
        <v>20</v>
      </c>
      <c r="AM128" s="11">
        <v>20</v>
      </c>
      <c r="AN128" s="11"/>
      <c r="AO128" s="11"/>
      <c r="AP128" s="11"/>
      <c r="AQ128" s="11"/>
      <c r="AR128" s="11"/>
      <c r="AS128" s="11"/>
      <c r="AT128" s="11"/>
      <c r="AU128" s="11"/>
      <c r="AV128" s="12"/>
      <c r="AW128">
        <v>2</v>
      </c>
      <c r="AX128">
        <v>2</v>
      </c>
      <c r="AY128">
        <v>2</v>
      </c>
      <c r="AZ128">
        <v>2</v>
      </c>
      <c r="BA128">
        <v>2</v>
      </c>
      <c r="BB128">
        <v>2</v>
      </c>
    </row>
    <row r="129" spans="12:61" ht="15.75" customHeight="1" x14ac:dyDescent="0.25">
      <c r="L129" t="s">
        <v>294</v>
      </c>
      <c r="M129">
        <v>110</v>
      </c>
      <c r="N129">
        <v>165000</v>
      </c>
      <c r="O129">
        <v>1100</v>
      </c>
      <c r="P129" s="3">
        <v>500</v>
      </c>
      <c r="Q129" s="4"/>
      <c r="R129" s="4"/>
      <c r="S129" s="13">
        <v>40</v>
      </c>
      <c r="T129" s="11">
        <v>40</v>
      </c>
      <c r="U129" s="11">
        <v>40</v>
      </c>
      <c r="V129" s="11">
        <v>40</v>
      </c>
      <c r="W129" s="11">
        <v>40</v>
      </c>
      <c r="X129" s="11">
        <v>40</v>
      </c>
      <c r="Y129" s="11">
        <v>40</v>
      </c>
      <c r="Z129" s="11">
        <v>40</v>
      </c>
      <c r="AA129" s="11">
        <v>40</v>
      </c>
      <c r="AB129" s="11">
        <v>40</v>
      </c>
      <c r="AC129" s="11">
        <v>40</v>
      </c>
      <c r="AD129" s="11">
        <v>40</v>
      </c>
      <c r="AE129" s="11"/>
      <c r="AF129" s="11"/>
      <c r="AG129" s="11"/>
      <c r="AH129" s="13">
        <v>26</v>
      </c>
      <c r="AI129" s="11">
        <v>26</v>
      </c>
      <c r="AJ129" s="11">
        <v>26</v>
      </c>
      <c r="AK129" s="11">
        <v>26</v>
      </c>
      <c r="AL129" s="11">
        <v>26</v>
      </c>
      <c r="AM129" s="11">
        <v>26</v>
      </c>
      <c r="AN129" s="11">
        <v>26</v>
      </c>
      <c r="AO129" s="11">
        <v>26</v>
      </c>
      <c r="AP129" s="11">
        <v>26</v>
      </c>
      <c r="AQ129" s="11">
        <v>26</v>
      </c>
      <c r="AR129" s="11">
        <v>26</v>
      </c>
      <c r="AS129" s="11">
        <v>26</v>
      </c>
      <c r="AT129" s="11"/>
      <c r="AU129" s="11"/>
      <c r="AV129" s="12"/>
      <c r="AW129">
        <v>2</v>
      </c>
      <c r="AX129">
        <v>2</v>
      </c>
      <c r="AY129">
        <v>2</v>
      </c>
      <c r="AZ129">
        <v>2</v>
      </c>
      <c r="BA129">
        <v>2</v>
      </c>
      <c r="BB129">
        <v>2</v>
      </c>
      <c r="BC129">
        <v>2</v>
      </c>
      <c r="BD129">
        <v>2</v>
      </c>
      <c r="BE129">
        <v>2</v>
      </c>
      <c r="BF129">
        <v>2</v>
      </c>
      <c r="BG129">
        <v>2</v>
      </c>
      <c r="BH129">
        <v>2</v>
      </c>
    </row>
    <row r="130" spans="12:61" ht="15.75" customHeight="1" x14ac:dyDescent="0.25">
      <c r="L130" t="s">
        <v>295</v>
      </c>
      <c r="M130">
        <v>25</v>
      </c>
      <c r="N130">
        <v>37500</v>
      </c>
      <c r="O130">
        <v>1000</v>
      </c>
      <c r="P130" s="3">
        <v>430</v>
      </c>
      <c r="Q130" s="15"/>
      <c r="R130" s="15"/>
      <c r="S130" s="13">
        <v>37.5</v>
      </c>
      <c r="T130" s="11">
        <v>37.5</v>
      </c>
      <c r="U130" s="11">
        <v>37.5</v>
      </c>
      <c r="V130" s="11"/>
      <c r="W130" s="11"/>
      <c r="X130" s="11"/>
      <c r="Y130" s="11"/>
      <c r="Z130" s="11"/>
      <c r="AA130" s="11"/>
      <c r="AB130" s="11"/>
      <c r="AC130" s="11"/>
      <c r="AD130" s="11"/>
      <c r="AE130" s="11"/>
      <c r="AF130" s="11"/>
      <c r="AG130" s="11"/>
      <c r="AH130" s="13">
        <v>24</v>
      </c>
      <c r="AI130" s="11">
        <v>24</v>
      </c>
      <c r="AJ130" s="11">
        <v>24</v>
      </c>
      <c r="AK130" s="11"/>
      <c r="AL130" s="11"/>
      <c r="AM130" s="11"/>
      <c r="AN130" s="11"/>
      <c r="AO130" s="11"/>
      <c r="AP130" s="11"/>
      <c r="AQ130" s="11"/>
      <c r="AR130" s="11"/>
      <c r="AS130" s="11"/>
      <c r="AT130" s="11"/>
      <c r="AU130" s="11"/>
      <c r="AV130" s="12"/>
      <c r="AW130">
        <v>2</v>
      </c>
      <c r="AX130">
        <v>2</v>
      </c>
      <c r="AY130">
        <v>2</v>
      </c>
    </row>
    <row r="131" spans="12:61" ht="15.75" customHeight="1" x14ac:dyDescent="0.25">
      <c r="L131" t="s">
        <v>296</v>
      </c>
      <c r="M131">
        <v>15</v>
      </c>
      <c r="N131">
        <v>30000</v>
      </c>
      <c r="O131">
        <v>1000</v>
      </c>
      <c r="P131" s="3">
        <v>110</v>
      </c>
      <c r="Q131" s="4"/>
      <c r="R131" s="4"/>
      <c r="S131" s="5">
        <v>40</v>
      </c>
      <c r="T131">
        <v>25</v>
      </c>
      <c r="AC131" s="17"/>
      <c r="AD131" s="17"/>
      <c r="AE131" s="17"/>
      <c r="AF131" s="17"/>
      <c r="AG131" s="17"/>
      <c r="AH131" s="8">
        <v>32</v>
      </c>
      <c r="AI131">
        <v>20</v>
      </c>
      <c r="AV131" s="9"/>
      <c r="AW131">
        <v>2</v>
      </c>
      <c r="AX131">
        <v>1</v>
      </c>
    </row>
    <row r="132" spans="12:61" ht="15.75" customHeight="1" x14ac:dyDescent="0.25">
      <c r="L132" t="s">
        <v>297</v>
      </c>
      <c r="M132">
        <v>15</v>
      </c>
      <c r="N132">
        <v>30000</v>
      </c>
      <c r="O132">
        <v>1000</v>
      </c>
      <c r="P132" s="9">
        <v>200</v>
      </c>
      <c r="Q132" s="15"/>
      <c r="R132" s="15"/>
      <c r="S132">
        <v>35</v>
      </c>
      <c r="T132">
        <v>20</v>
      </c>
      <c r="AC132" s="11"/>
      <c r="AD132" s="11"/>
      <c r="AE132" s="11"/>
      <c r="AF132" s="11"/>
      <c r="AG132" s="11"/>
      <c r="AH132" s="8">
        <v>28</v>
      </c>
      <c r="AI132">
        <v>16</v>
      </c>
      <c r="AV132" s="9"/>
      <c r="AW132" s="3">
        <v>2</v>
      </c>
      <c r="AX132" s="3">
        <v>1</v>
      </c>
      <c r="AY132" s="3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</row>
    <row r="133" spans="12:61" ht="15.75" customHeight="1" x14ac:dyDescent="0.25">
      <c r="L133" t="s">
        <v>298</v>
      </c>
      <c r="M133">
        <v>5</v>
      </c>
      <c r="N133">
        <v>10000</v>
      </c>
      <c r="O133">
        <v>550</v>
      </c>
      <c r="P133">
        <v>110</v>
      </c>
      <c r="Q133" s="4"/>
      <c r="R133" s="4"/>
      <c r="S133" s="8">
        <v>20</v>
      </c>
      <c r="T133">
        <v>20</v>
      </c>
      <c r="AC133" s="11"/>
      <c r="AD133" s="11"/>
      <c r="AE133" s="11"/>
      <c r="AF133" s="11"/>
      <c r="AG133" s="11"/>
      <c r="AH133" s="5">
        <v>16</v>
      </c>
      <c r="AI133">
        <v>16</v>
      </c>
      <c r="AV133" s="9"/>
      <c r="AW133">
        <v>1</v>
      </c>
      <c r="AX133">
        <v>1</v>
      </c>
    </row>
    <row r="134" spans="12:61" ht="15.75" customHeight="1" x14ac:dyDescent="0.25">
      <c r="L134" t="s">
        <v>299</v>
      </c>
      <c r="M134">
        <v>7.5</v>
      </c>
      <c r="N134">
        <v>15000</v>
      </c>
      <c r="O134">
        <v>600</v>
      </c>
      <c r="P134">
        <v>90</v>
      </c>
      <c r="Q134" s="15"/>
      <c r="R134" s="15"/>
      <c r="S134" s="8">
        <v>20</v>
      </c>
      <c r="T134">
        <v>20</v>
      </c>
      <c r="AC134" s="20"/>
      <c r="AD134" s="20"/>
      <c r="AE134" s="20"/>
      <c r="AF134" s="20"/>
      <c r="AG134" s="21"/>
      <c r="AH134">
        <v>16</v>
      </c>
      <c r="AI134">
        <v>16</v>
      </c>
      <c r="AV134" s="9"/>
      <c r="AW134">
        <v>1</v>
      </c>
      <c r="AX134">
        <v>1</v>
      </c>
    </row>
    <row r="135" spans="12:61" ht="15.75" customHeight="1" x14ac:dyDescent="0.25">
      <c r="L135" t="s">
        <v>300</v>
      </c>
      <c r="M135">
        <v>60</v>
      </c>
      <c r="N135">
        <v>120000</v>
      </c>
      <c r="O135">
        <v>1000</v>
      </c>
      <c r="P135">
        <v>200</v>
      </c>
      <c r="Q135" s="4"/>
      <c r="R135" s="4"/>
      <c r="S135" s="8">
        <v>50</v>
      </c>
      <c r="T135">
        <v>50</v>
      </c>
      <c r="U135">
        <v>50</v>
      </c>
      <c r="V135">
        <v>50</v>
      </c>
      <c r="W135">
        <v>50</v>
      </c>
      <c r="X135">
        <v>50</v>
      </c>
      <c r="AG135" s="9"/>
      <c r="AH135" s="11">
        <v>40</v>
      </c>
      <c r="AI135" s="11">
        <v>40</v>
      </c>
      <c r="AJ135" s="11">
        <v>40</v>
      </c>
      <c r="AK135" s="11">
        <v>40</v>
      </c>
      <c r="AL135" s="11">
        <v>40</v>
      </c>
      <c r="AM135" s="11">
        <v>40</v>
      </c>
      <c r="AN135" s="11"/>
      <c r="AO135" s="11"/>
      <c r="AP135" s="11"/>
      <c r="AQ135" s="11"/>
      <c r="AR135" s="11"/>
      <c r="AS135" s="11"/>
      <c r="AT135" s="11"/>
      <c r="AU135" s="11"/>
      <c r="AV135" s="12"/>
      <c r="AW135">
        <v>2</v>
      </c>
      <c r="AX135">
        <v>2</v>
      </c>
      <c r="AY135">
        <v>2</v>
      </c>
      <c r="AZ135">
        <v>2</v>
      </c>
      <c r="BA135">
        <v>2</v>
      </c>
      <c r="BB135">
        <v>2</v>
      </c>
    </row>
    <row r="136" spans="12:61" ht="15.75" customHeight="1" x14ac:dyDescent="0.25">
      <c r="L136" t="s">
        <v>301</v>
      </c>
      <c r="M136">
        <v>10</v>
      </c>
      <c r="N136">
        <v>20000</v>
      </c>
      <c r="O136">
        <v>600</v>
      </c>
      <c r="P136">
        <v>110</v>
      </c>
      <c r="Q136" s="15">
        <v>215049</v>
      </c>
      <c r="R136" s="15" t="s">
        <v>63</v>
      </c>
      <c r="S136" s="5">
        <v>40</v>
      </c>
      <c r="T136">
        <v>40</v>
      </c>
      <c r="AG136" s="6"/>
      <c r="AH136">
        <v>32</v>
      </c>
      <c r="AI136">
        <v>32</v>
      </c>
      <c r="AV136" s="6"/>
      <c r="AW136">
        <v>2</v>
      </c>
      <c r="AX136">
        <v>2</v>
      </c>
    </row>
    <row r="137" spans="12:61" ht="15.75" customHeight="1" x14ac:dyDescent="0.25">
      <c r="L137" t="s">
        <v>302</v>
      </c>
      <c r="M137">
        <v>12</v>
      </c>
      <c r="N137">
        <v>24000</v>
      </c>
      <c r="O137">
        <v>1000</v>
      </c>
      <c r="P137">
        <v>150</v>
      </c>
      <c r="Q137" s="4">
        <v>215050</v>
      </c>
      <c r="R137" s="4" t="s">
        <v>63</v>
      </c>
      <c r="S137" s="5">
        <v>50</v>
      </c>
      <c r="T137">
        <v>50</v>
      </c>
      <c r="AG137" s="6"/>
      <c r="AH137">
        <v>36</v>
      </c>
      <c r="AI137">
        <v>36</v>
      </c>
      <c r="AV137" s="6"/>
      <c r="AW137">
        <v>2</v>
      </c>
      <c r="AX137">
        <v>2</v>
      </c>
    </row>
    <row r="138" spans="12:61" ht="15.75" customHeight="1" x14ac:dyDescent="0.25">
      <c r="L138" t="s">
        <v>303</v>
      </c>
      <c r="M138">
        <v>15</v>
      </c>
      <c r="N138">
        <v>30000</v>
      </c>
      <c r="O138">
        <v>1000</v>
      </c>
      <c r="P138">
        <v>150</v>
      </c>
      <c r="Q138" s="15">
        <v>215051</v>
      </c>
      <c r="R138" s="15" t="s">
        <v>63</v>
      </c>
      <c r="S138" s="5">
        <v>50</v>
      </c>
      <c r="T138">
        <v>50</v>
      </c>
      <c r="AG138" s="6"/>
      <c r="AH138">
        <v>36</v>
      </c>
      <c r="AI138">
        <v>36</v>
      </c>
      <c r="AV138" s="6"/>
      <c r="AW138">
        <v>2</v>
      </c>
      <c r="AX138">
        <v>2</v>
      </c>
    </row>
    <row r="139" spans="12:61" ht="15.75" customHeight="1" x14ac:dyDescent="0.25">
      <c r="L139" t="s">
        <v>304</v>
      </c>
      <c r="M139">
        <v>20</v>
      </c>
      <c r="N139">
        <v>40000</v>
      </c>
      <c r="O139">
        <v>1000</v>
      </c>
      <c r="P139" s="6">
        <v>150</v>
      </c>
      <c r="Q139" s="4">
        <v>215052</v>
      </c>
      <c r="R139" s="4" t="s">
        <v>63</v>
      </c>
      <c r="S139">
        <v>50</v>
      </c>
      <c r="T139">
        <v>50</v>
      </c>
      <c r="AH139" s="5">
        <v>36</v>
      </c>
      <c r="AI139" s="5">
        <v>36</v>
      </c>
      <c r="AJ139" s="5"/>
      <c r="AK139" s="5"/>
      <c r="AL139" s="5"/>
      <c r="AM139" s="5"/>
      <c r="AN139" s="5"/>
      <c r="AO139" s="5"/>
      <c r="AV139" s="6"/>
      <c r="AW139">
        <v>2</v>
      </c>
      <c r="AX139">
        <v>2</v>
      </c>
    </row>
    <row r="140" spans="12:61" ht="15.75" customHeight="1" x14ac:dyDescent="0.25">
      <c r="L140" t="s">
        <v>305</v>
      </c>
      <c r="M140">
        <v>6</v>
      </c>
      <c r="N140">
        <v>12000</v>
      </c>
      <c r="O140">
        <v>550</v>
      </c>
      <c r="P140" s="6">
        <v>110</v>
      </c>
      <c r="Q140" s="15">
        <v>123552</v>
      </c>
      <c r="R140" s="15" t="s">
        <v>63</v>
      </c>
      <c r="S140">
        <v>20</v>
      </c>
      <c r="T140">
        <v>20</v>
      </c>
      <c r="AH140" s="5">
        <v>16</v>
      </c>
      <c r="AI140">
        <v>16</v>
      </c>
      <c r="AV140" s="6"/>
      <c r="AW140">
        <v>1</v>
      </c>
      <c r="AX140">
        <v>1</v>
      </c>
    </row>
    <row r="141" spans="12:61" ht="15.75" customHeight="1" x14ac:dyDescent="0.25">
      <c r="L141" t="s">
        <v>306</v>
      </c>
      <c r="M141">
        <v>110</v>
      </c>
      <c r="N141">
        <v>165000</v>
      </c>
      <c r="O141">
        <v>1100</v>
      </c>
      <c r="P141" s="9">
        <v>195</v>
      </c>
      <c r="Q141" s="4">
        <v>7490</v>
      </c>
      <c r="R141" s="4" t="s">
        <v>63</v>
      </c>
      <c r="S141" s="11">
        <v>40</v>
      </c>
      <c r="T141" s="11">
        <v>40</v>
      </c>
      <c r="U141" s="11">
        <v>40</v>
      </c>
      <c r="V141" s="11">
        <v>40</v>
      </c>
      <c r="W141" s="11">
        <v>40</v>
      </c>
      <c r="X141" s="11">
        <v>40</v>
      </c>
      <c r="Y141" s="11">
        <v>40</v>
      </c>
      <c r="Z141" s="11">
        <v>40</v>
      </c>
      <c r="AA141" s="11">
        <v>40</v>
      </c>
      <c r="AB141" s="11">
        <v>40</v>
      </c>
      <c r="AC141" s="11"/>
      <c r="AD141" s="11"/>
      <c r="AE141" s="11"/>
      <c r="AF141" s="11"/>
      <c r="AG141" s="11"/>
      <c r="AH141" s="13">
        <v>26</v>
      </c>
      <c r="AI141" s="11">
        <v>26</v>
      </c>
      <c r="AJ141" s="11">
        <v>26</v>
      </c>
      <c r="AK141" s="11">
        <v>26</v>
      </c>
      <c r="AL141" s="11">
        <v>26</v>
      </c>
      <c r="AM141" s="11">
        <v>26</v>
      </c>
      <c r="AN141" s="11">
        <v>26</v>
      </c>
      <c r="AO141" s="11">
        <v>26</v>
      </c>
      <c r="AP141" s="11">
        <v>26</v>
      </c>
      <c r="AQ141" s="11">
        <v>26</v>
      </c>
      <c r="AR141" s="11"/>
      <c r="AS141" s="11"/>
      <c r="AT141" s="11"/>
      <c r="AU141" s="11"/>
      <c r="AV141" s="12"/>
      <c r="AW141">
        <v>2</v>
      </c>
      <c r="AX141">
        <v>2</v>
      </c>
      <c r="AY141">
        <v>2</v>
      </c>
      <c r="AZ141">
        <v>2</v>
      </c>
      <c r="BA141">
        <v>2</v>
      </c>
      <c r="BB141">
        <v>2</v>
      </c>
      <c r="BC141">
        <v>2</v>
      </c>
      <c r="BD141">
        <v>2</v>
      </c>
      <c r="BE141">
        <v>2</v>
      </c>
      <c r="BF141">
        <v>2</v>
      </c>
    </row>
    <row r="142" spans="12:61" ht="15.75" customHeight="1" x14ac:dyDescent="0.25">
      <c r="L142" t="s">
        <v>307</v>
      </c>
      <c r="M142">
        <v>110</v>
      </c>
      <c r="N142">
        <v>165000</v>
      </c>
      <c r="O142">
        <v>1100</v>
      </c>
      <c r="P142" s="9">
        <v>180</v>
      </c>
      <c r="Q142" s="15"/>
      <c r="R142" s="15"/>
      <c r="S142" s="11">
        <v>50</v>
      </c>
      <c r="T142" s="11">
        <v>50</v>
      </c>
      <c r="U142" s="11">
        <v>50</v>
      </c>
      <c r="V142" s="11">
        <v>50</v>
      </c>
      <c r="W142" s="11">
        <v>50</v>
      </c>
      <c r="X142" s="11">
        <v>50</v>
      </c>
      <c r="Y142" s="11">
        <v>50</v>
      </c>
      <c r="Z142" s="11">
        <v>50</v>
      </c>
      <c r="AA142" s="11"/>
      <c r="AB142" s="11"/>
      <c r="AC142" s="11"/>
      <c r="AD142" s="11"/>
      <c r="AE142" s="11"/>
      <c r="AF142" s="11"/>
      <c r="AG142" s="11"/>
      <c r="AH142" s="13">
        <v>36</v>
      </c>
      <c r="AI142" s="11">
        <v>32</v>
      </c>
      <c r="AJ142" s="11">
        <v>36</v>
      </c>
      <c r="AK142" s="11">
        <v>32</v>
      </c>
      <c r="AL142" s="11">
        <v>36</v>
      </c>
      <c r="AM142" s="11">
        <v>32</v>
      </c>
      <c r="AN142" s="11">
        <v>36</v>
      </c>
      <c r="AO142" s="11">
        <v>32</v>
      </c>
      <c r="AP142" s="11"/>
      <c r="AQ142" s="11"/>
      <c r="AR142" s="11"/>
      <c r="AS142" s="11"/>
      <c r="AT142" s="11"/>
      <c r="AU142" s="11"/>
      <c r="AV142" s="12"/>
      <c r="AW142">
        <v>2</v>
      </c>
      <c r="AX142">
        <v>2</v>
      </c>
      <c r="AY142">
        <v>2</v>
      </c>
      <c r="AZ142">
        <v>2</v>
      </c>
      <c r="BA142">
        <v>2</v>
      </c>
      <c r="BB142">
        <v>2</v>
      </c>
      <c r="BC142">
        <v>2</v>
      </c>
      <c r="BD142">
        <v>2</v>
      </c>
    </row>
    <row r="143" spans="12:61" ht="15.75" customHeight="1" x14ac:dyDescent="0.25">
      <c r="L143" t="s">
        <v>308</v>
      </c>
      <c r="M143">
        <v>125</v>
      </c>
      <c r="N143">
        <v>187500</v>
      </c>
      <c r="O143">
        <v>1500</v>
      </c>
      <c r="P143" s="6">
        <v>950</v>
      </c>
      <c r="Q143" s="4"/>
      <c r="R143" s="4"/>
      <c r="S143">
        <v>300</v>
      </c>
      <c r="AH143" s="5">
        <v>150</v>
      </c>
      <c r="AV143" s="6"/>
      <c r="AW143">
        <v>20</v>
      </c>
    </row>
    <row r="144" spans="12:61" ht="15.75" customHeight="1" x14ac:dyDescent="0.25">
      <c r="L144" t="s">
        <v>309</v>
      </c>
      <c r="M144">
        <v>15</v>
      </c>
      <c r="N144">
        <v>22500</v>
      </c>
      <c r="O144">
        <v>1000</v>
      </c>
      <c r="P144" s="6">
        <v>180</v>
      </c>
      <c r="Q144" s="15"/>
      <c r="R144" s="15"/>
      <c r="S144" s="11">
        <v>34.299999999999997</v>
      </c>
      <c r="T144" s="11">
        <v>34.299999999999997</v>
      </c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G144" s="11"/>
      <c r="AH144" s="13">
        <v>22</v>
      </c>
      <c r="AI144" s="13">
        <v>22</v>
      </c>
      <c r="AJ144" s="13"/>
      <c r="AK144" s="13"/>
      <c r="AL144" s="13"/>
      <c r="AM144" s="13"/>
      <c r="AN144" s="13"/>
      <c r="AO144" s="13"/>
      <c r="AP144" s="11"/>
      <c r="AQ144" s="11"/>
      <c r="AR144" s="11"/>
      <c r="AS144" s="11"/>
      <c r="AT144" s="11"/>
      <c r="AU144" s="11"/>
      <c r="AV144" s="12"/>
      <c r="AW144">
        <v>2</v>
      </c>
      <c r="AX144">
        <v>2</v>
      </c>
    </row>
    <row r="145" spans="12:57" ht="15.75" customHeight="1" x14ac:dyDescent="0.25">
      <c r="L145" t="s">
        <v>310</v>
      </c>
      <c r="M145">
        <v>7.7</v>
      </c>
      <c r="N145">
        <f>$M145*2*1000</f>
        <v>15400</v>
      </c>
      <c r="O145">
        <v>600</v>
      </c>
      <c r="P145" s="6">
        <v>120</v>
      </c>
      <c r="Q145" s="4"/>
      <c r="R145" s="4"/>
      <c r="S145" s="11">
        <v>19.5</v>
      </c>
      <c r="T145" s="11">
        <v>30</v>
      </c>
      <c r="U145" s="11"/>
      <c r="V145" s="11"/>
      <c r="W145" s="11"/>
      <c r="X145" s="11"/>
      <c r="Y145" s="11"/>
      <c r="Z145" s="11"/>
      <c r="AA145" s="11"/>
      <c r="AB145" s="11"/>
      <c r="AC145" s="11"/>
      <c r="AD145" s="11"/>
      <c r="AE145" s="11"/>
      <c r="AF145" s="11"/>
      <c r="AG145" s="11"/>
      <c r="AH145" s="13">
        <v>12.5</v>
      </c>
      <c r="AI145" s="11">
        <v>25</v>
      </c>
      <c r="AJ145" s="11"/>
      <c r="AK145" s="11"/>
      <c r="AL145" s="11"/>
      <c r="AM145" s="11"/>
      <c r="AN145" s="11"/>
      <c r="AO145" s="11"/>
      <c r="AP145" s="11"/>
      <c r="AQ145" s="11"/>
      <c r="AR145" s="11"/>
      <c r="AS145" s="11"/>
      <c r="AT145" s="11"/>
      <c r="AU145" s="11"/>
      <c r="AV145" s="12"/>
      <c r="AW145">
        <v>1</v>
      </c>
      <c r="AX145">
        <v>2</v>
      </c>
    </row>
    <row r="146" spans="12:57" ht="15.75" customHeight="1" x14ac:dyDescent="0.25">
      <c r="L146" t="s">
        <v>311</v>
      </c>
      <c r="M146">
        <v>7</v>
      </c>
      <c r="N146">
        <v>14000</v>
      </c>
      <c r="O146">
        <v>600</v>
      </c>
      <c r="P146" s="6">
        <v>120</v>
      </c>
      <c r="Q146" s="15">
        <v>218759</v>
      </c>
      <c r="R146" s="15" t="s">
        <v>63</v>
      </c>
      <c r="S146">
        <v>19.5</v>
      </c>
      <c r="T146">
        <v>30</v>
      </c>
      <c r="AH146" s="5">
        <v>12.5</v>
      </c>
      <c r="AI146">
        <v>25</v>
      </c>
      <c r="AV146" s="6"/>
      <c r="AW146">
        <v>1</v>
      </c>
      <c r="AX146">
        <v>2</v>
      </c>
    </row>
    <row r="147" spans="12:57" ht="15.75" customHeight="1" x14ac:dyDescent="0.25">
      <c r="L147" t="s">
        <v>312</v>
      </c>
      <c r="M147">
        <v>25</v>
      </c>
      <c r="N147">
        <v>37500</v>
      </c>
      <c r="O147">
        <v>1100</v>
      </c>
      <c r="P147" s="6">
        <v>200</v>
      </c>
      <c r="Q147" s="4"/>
      <c r="R147" s="4"/>
      <c r="S147" s="11">
        <v>40</v>
      </c>
      <c r="T147" s="11">
        <v>40</v>
      </c>
      <c r="U147" s="11">
        <v>40</v>
      </c>
      <c r="V147" s="11"/>
      <c r="W147" s="11"/>
      <c r="X147" s="11"/>
      <c r="Y147" s="11"/>
      <c r="Z147" s="11"/>
      <c r="AA147" s="11"/>
      <c r="AB147" s="11"/>
      <c r="AC147" s="11"/>
      <c r="AD147" s="11"/>
      <c r="AE147" s="11"/>
      <c r="AF147" s="11"/>
      <c r="AG147" s="11"/>
      <c r="AH147" s="13">
        <v>26</v>
      </c>
      <c r="AI147" s="11">
        <v>26</v>
      </c>
      <c r="AJ147" s="11">
        <v>26</v>
      </c>
      <c r="AK147" s="11"/>
      <c r="AL147" s="11"/>
      <c r="AM147" s="11"/>
      <c r="AN147" s="11"/>
      <c r="AO147" s="11"/>
      <c r="AP147" s="11"/>
      <c r="AQ147" s="11"/>
      <c r="AR147" s="11"/>
      <c r="AS147" s="11"/>
      <c r="AT147" s="11"/>
      <c r="AU147" s="11"/>
      <c r="AV147" s="12"/>
      <c r="AW147">
        <v>2</v>
      </c>
      <c r="AX147">
        <v>2</v>
      </c>
      <c r="AY147">
        <v>2</v>
      </c>
    </row>
    <row r="148" spans="12:57" ht="15.75" customHeight="1" x14ac:dyDescent="0.25">
      <c r="L148" t="s">
        <v>313</v>
      </c>
      <c r="M148">
        <v>30</v>
      </c>
      <c r="N148">
        <v>45000</v>
      </c>
      <c r="O148">
        <v>1100</v>
      </c>
      <c r="P148" s="6">
        <v>200</v>
      </c>
      <c r="Q148" s="15"/>
      <c r="R148" s="15"/>
      <c r="S148" s="11">
        <v>40</v>
      </c>
      <c r="T148" s="11">
        <v>40</v>
      </c>
      <c r="U148" s="11">
        <v>40</v>
      </c>
      <c r="V148" s="11"/>
      <c r="W148" s="11"/>
      <c r="X148" s="11"/>
      <c r="Y148" s="11"/>
      <c r="Z148" s="11"/>
      <c r="AA148" s="11"/>
      <c r="AB148" s="11"/>
      <c r="AC148" s="11"/>
      <c r="AD148" s="11"/>
      <c r="AE148" s="11"/>
      <c r="AF148" s="11"/>
      <c r="AG148" s="11"/>
      <c r="AH148" s="13">
        <v>26</v>
      </c>
      <c r="AI148" s="11">
        <v>26</v>
      </c>
      <c r="AJ148" s="11">
        <v>26</v>
      </c>
      <c r="AK148" s="11"/>
      <c r="AL148" s="11"/>
      <c r="AM148" s="11"/>
      <c r="AN148" s="11"/>
      <c r="AO148" s="11"/>
      <c r="AP148" s="11"/>
      <c r="AQ148" s="11"/>
      <c r="AR148" s="11"/>
      <c r="AS148" s="11"/>
      <c r="AT148" s="11"/>
      <c r="AU148" s="11"/>
      <c r="AV148" s="12"/>
      <c r="AW148">
        <v>2</v>
      </c>
      <c r="AX148">
        <v>2</v>
      </c>
      <c r="AY148">
        <v>2</v>
      </c>
    </row>
    <row r="149" spans="12:57" ht="15.75" customHeight="1" x14ac:dyDescent="0.25">
      <c r="L149" t="s">
        <v>314</v>
      </c>
      <c r="M149">
        <v>50</v>
      </c>
      <c r="N149">
        <v>75000</v>
      </c>
      <c r="O149">
        <v>1100</v>
      </c>
      <c r="P149" s="6">
        <v>200</v>
      </c>
      <c r="Q149" s="4"/>
      <c r="R149" s="4"/>
      <c r="S149" s="11">
        <v>44.5</v>
      </c>
      <c r="T149" s="11">
        <v>44.5</v>
      </c>
      <c r="U149" s="11">
        <v>44.5</v>
      </c>
      <c r="V149" s="11">
        <v>44.5</v>
      </c>
      <c r="W149" s="11"/>
      <c r="X149" s="11"/>
      <c r="Y149" s="11"/>
      <c r="Z149" s="11"/>
      <c r="AA149" s="11"/>
      <c r="AB149" s="11"/>
      <c r="AC149" s="11"/>
      <c r="AD149" s="11"/>
      <c r="AE149" s="11"/>
      <c r="AF149" s="11"/>
      <c r="AG149" s="11"/>
      <c r="AH149" s="13">
        <v>28.5</v>
      </c>
      <c r="AI149" s="11">
        <v>28.5</v>
      </c>
      <c r="AJ149" s="11">
        <v>28.5</v>
      </c>
      <c r="AK149" s="11">
        <v>28.5</v>
      </c>
      <c r="AL149" s="11"/>
      <c r="AM149" s="11"/>
      <c r="AN149" s="11"/>
      <c r="AO149" s="11"/>
      <c r="AP149" s="11"/>
      <c r="AQ149" s="11"/>
      <c r="AR149" s="11"/>
      <c r="AS149" s="11"/>
      <c r="AT149" s="11"/>
      <c r="AU149" s="11"/>
      <c r="AV149" s="12"/>
      <c r="AW149">
        <v>3</v>
      </c>
      <c r="AX149">
        <v>3</v>
      </c>
      <c r="AY149">
        <v>3</v>
      </c>
      <c r="AZ149">
        <v>3</v>
      </c>
    </row>
    <row r="150" spans="12:57" ht="15.75" customHeight="1" x14ac:dyDescent="0.25">
      <c r="L150" t="s">
        <v>315</v>
      </c>
      <c r="M150">
        <v>60</v>
      </c>
      <c r="N150">
        <v>90000</v>
      </c>
      <c r="O150">
        <v>1100</v>
      </c>
      <c r="P150" s="6">
        <v>200</v>
      </c>
      <c r="Q150" s="15"/>
      <c r="R150" s="15"/>
      <c r="S150" s="11">
        <v>44.5</v>
      </c>
      <c r="T150" s="11">
        <v>44.5</v>
      </c>
      <c r="U150" s="11">
        <v>44.5</v>
      </c>
      <c r="V150" s="11">
        <v>44.5</v>
      </c>
      <c r="W150" s="11"/>
      <c r="X150" s="11"/>
      <c r="Y150" s="11"/>
      <c r="Z150" s="11"/>
      <c r="AA150" s="11"/>
      <c r="AB150" s="11"/>
      <c r="AC150" s="11"/>
      <c r="AD150" s="11"/>
      <c r="AE150" s="11"/>
      <c r="AF150" s="11"/>
      <c r="AG150" s="11"/>
      <c r="AH150" s="13">
        <v>28.5</v>
      </c>
      <c r="AI150" s="11">
        <v>28.5</v>
      </c>
      <c r="AJ150" s="11">
        <v>28.5</v>
      </c>
      <c r="AK150" s="11">
        <v>28.5</v>
      </c>
      <c r="AL150" s="11"/>
      <c r="AM150" s="11"/>
      <c r="AN150" s="11"/>
      <c r="AO150" s="11"/>
      <c r="AP150" s="11"/>
      <c r="AQ150" s="11"/>
      <c r="AR150" s="11"/>
      <c r="AS150" s="11"/>
      <c r="AT150" s="11"/>
      <c r="AU150" s="11"/>
      <c r="AV150" s="12"/>
      <c r="AW150">
        <v>3</v>
      </c>
      <c r="AX150">
        <v>3</v>
      </c>
      <c r="AY150">
        <v>3</v>
      </c>
      <c r="AZ150">
        <v>3</v>
      </c>
    </row>
    <row r="151" spans="12:57" ht="15.75" customHeight="1" x14ac:dyDescent="0.25">
      <c r="L151" t="s">
        <v>316</v>
      </c>
      <c r="M151">
        <v>75</v>
      </c>
      <c r="N151">
        <v>126000</v>
      </c>
      <c r="O151">
        <v>1100</v>
      </c>
      <c r="P151" s="6">
        <v>195</v>
      </c>
      <c r="Q151" s="4"/>
      <c r="R151" s="4"/>
      <c r="S151" s="11">
        <v>40</v>
      </c>
      <c r="T151" s="11">
        <v>40</v>
      </c>
      <c r="U151" s="11">
        <v>40</v>
      </c>
      <c r="V151" s="11">
        <v>40</v>
      </c>
      <c r="W151" s="11">
        <v>40</v>
      </c>
      <c r="X151" s="11">
        <v>40</v>
      </c>
      <c r="Y151" s="11">
        <v>40</v>
      </c>
      <c r="Z151" s="11">
        <v>40</v>
      </c>
      <c r="AA151" s="11">
        <v>40</v>
      </c>
      <c r="AB151" s="11"/>
      <c r="AC151" s="11"/>
      <c r="AD151" s="11"/>
      <c r="AE151" s="11"/>
      <c r="AF151" s="11"/>
      <c r="AG151" s="11"/>
      <c r="AH151" s="13">
        <v>26</v>
      </c>
      <c r="AI151" s="11">
        <v>26</v>
      </c>
      <c r="AJ151" s="11">
        <v>26</v>
      </c>
      <c r="AK151" s="11">
        <v>26</v>
      </c>
      <c r="AL151" s="11">
        <v>26</v>
      </c>
      <c r="AM151" s="11">
        <v>26</v>
      </c>
      <c r="AN151" s="11">
        <v>26</v>
      </c>
      <c r="AO151" s="11">
        <v>26</v>
      </c>
      <c r="AP151" s="11">
        <v>26</v>
      </c>
      <c r="AQ151" s="11"/>
      <c r="AR151" s="11"/>
      <c r="AS151" s="11"/>
      <c r="AT151" s="11"/>
      <c r="AU151" s="11"/>
      <c r="AV151" s="12"/>
      <c r="AW151">
        <v>2</v>
      </c>
      <c r="AX151">
        <v>2</v>
      </c>
      <c r="AY151">
        <v>2</v>
      </c>
      <c r="AZ151">
        <v>2</v>
      </c>
      <c r="BA151">
        <v>2</v>
      </c>
      <c r="BB151">
        <v>2</v>
      </c>
      <c r="BC151">
        <v>2</v>
      </c>
      <c r="BD151">
        <v>2</v>
      </c>
      <c r="BE151">
        <v>2</v>
      </c>
    </row>
    <row r="152" spans="12:57" ht="15.75" customHeight="1" x14ac:dyDescent="0.25">
      <c r="L152" t="s">
        <v>317</v>
      </c>
      <c r="M152">
        <v>75</v>
      </c>
      <c r="N152">
        <v>150000</v>
      </c>
      <c r="O152">
        <v>1100</v>
      </c>
      <c r="P152" s="6">
        <v>180</v>
      </c>
      <c r="Q152" s="15">
        <v>88619</v>
      </c>
      <c r="R152" s="15" t="s">
        <v>63</v>
      </c>
      <c r="S152" s="11">
        <v>50</v>
      </c>
      <c r="T152" s="11">
        <v>50</v>
      </c>
      <c r="U152" s="11">
        <v>50</v>
      </c>
      <c r="V152" s="11">
        <v>50</v>
      </c>
      <c r="W152" s="11">
        <v>50</v>
      </c>
      <c r="X152" s="11">
        <v>50</v>
      </c>
      <c r="Y152" s="11"/>
      <c r="Z152" s="11"/>
      <c r="AA152" s="11"/>
      <c r="AB152" s="11"/>
      <c r="AC152" s="11"/>
      <c r="AD152" s="11"/>
      <c r="AE152" s="11"/>
      <c r="AF152" s="11"/>
      <c r="AG152" s="11"/>
      <c r="AH152" s="13">
        <v>40</v>
      </c>
      <c r="AI152" s="11">
        <v>32</v>
      </c>
      <c r="AJ152" s="11">
        <v>40</v>
      </c>
      <c r="AK152" s="11">
        <v>32</v>
      </c>
      <c r="AL152" s="11">
        <v>40</v>
      </c>
      <c r="AM152" s="11">
        <v>32</v>
      </c>
      <c r="AN152" s="11"/>
      <c r="AO152" s="11"/>
      <c r="AP152" s="11"/>
      <c r="AQ152" s="11"/>
      <c r="AR152" s="11"/>
      <c r="AS152" s="11"/>
      <c r="AT152" s="11"/>
      <c r="AU152" s="11"/>
      <c r="AV152" s="12"/>
      <c r="AW152">
        <v>2</v>
      </c>
      <c r="AX152">
        <v>2</v>
      </c>
      <c r="AY152">
        <v>2</v>
      </c>
      <c r="AZ152">
        <v>2</v>
      </c>
      <c r="BA152">
        <v>2</v>
      </c>
      <c r="BB152">
        <v>2</v>
      </c>
    </row>
    <row r="153" spans="12:57" ht="15.75" customHeight="1" x14ac:dyDescent="0.25">
      <c r="L153" t="s">
        <v>318</v>
      </c>
      <c r="M153">
        <v>75</v>
      </c>
      <c r="N153">
        <f>$M153*1.5*1000</f>
        <v>112500</v>
      </c>
      <c r="O153">
        <v>1100</v>
      </c>
      <c r="P153" s="6">
        <v>180</v>
      </c>
      <c r="Q153" s="4"/>
      <c r="R153" s="4"/>
      <c r="S153" s="11">
        <v>50</v>
      </c>
      <c r="T153" s="11">
        <v>50</v>
      </c>
      <c r="U153" s="11">
        <v>50</v>
      </c>
      <c r="V153" s="11">
        <v>50</v>
      </c>
      <c r="W153" s="11">
        <v>50</v>
      </c>
      <c r="X153" s="11">
        <v>50</v>
      </c>
      <c r="Y153" s="11"/>
      <c r="Z153" s="11"/>
      <c r="AA153" s="11"/>
      <c r="AB153" s="11"/>
      <c r="AC153" s="11"/>
      <c r="AD153" s="11"/>
      <c r="AE153" s="11"/>
      <c r="AF153" s="11"/>
      <c r="AG153" s="11"/>
      <c r="AH153" s="13">
        <v>40</v>
      </c>
      <c r="AI153" s="11">
        <v>32</v>
      </c>
      <c r="AJ153" s="11">
        <v>40</v>
      </c>
      <c r="AK153" s="11">
        <v>32</v>
      </c>
      <c r="AL153" s="11">
        <v>40</v>
      </c>
      <c r="AM153" s="11">
        <v>32</v>
      </c>
      <c r="AN153" s="11"/>
      <c r="AO153" s="11"/>
      <c r="AP153" s="11"/>
      <c r="AQ153" s="11"/>
      <c r="AR153" s="11"/>
      <c r="AS153" s="11"/>
      <c r="AT153" s="11"/>
      <c r="AU153" s="11"/>
      <c r="AV153" s="12"/>
      <c r="AW153">
        <v>2</v>
      </c>
      <c r="AX153">
        <v>2</v>
      </c>
      <c r="AY153">
        <v>2</v>
      </c>
      <c r="AZ153">
        <v>2</v>
      </c>
      <c r="BA153">
        <v>2</v>
      </c>
      <c r="BB153">
        <v>2</v>
      </c>
    </row>
    <row r="154" spans="12:57" ht="15.75" customHeight="1" x14ac:dyDescent="0.25">
      <c r="L154" t="s">
        <v>319</v>
      </c>
      <c r="M154">
        <v>8</v>
      </c>
      <c r="N154">
        <v>12000</v>
      </c>
      <c r="O154">
        <v>600</v>
      </c>
      <c r="P154" s="6">
        <v>120</v>
      </c>
      <c r="Q154" s="15"/>
      <c r="R154" s="15"/>
      <c r="S154" s="11">
        <v>15.6</v>
      </c>
      <c r="T154" s="11">
        <v>15.6</v>
      </c>
      <c r="U154" s="11">
        <v>15.6</v>
      </c>
      <c r="V154" s="11"/>
      <c r="W154" s="11"/>
      <c r="X154" s="11"/>
      <c r="Y154" s="11"/>
      <c r="Z154" s="11"/>
      <c r="AA154" s="11"/>
      <c r="AB154" s="11"/>
      <c r="AC154" s="11"/>
      <c r="AD154" s="11"/>
      <c r="AE154" s="11"/>
      <c r="AF154" s="11"/>
      <c r="AG154" s="11"/>
      <c r="AH154" s="13">
        <v>10</v>
      </c>
      <c r="AI154" s="11">
        <v>10</v>
      </c>
      <c r="AJ154" s="11">
        <v>10</v>
      </c>
      <c r="AK154" s="11"/>
      <c r="AL154" s="11"/>
      <c r="AM154" s="11"/>
      <c r="AN154" s="11"/>
      <c r="AO154" s="11"/>
      <c r="AP154" s="11"/>
      <c r="AQ154" s="11"/>
      <c r="AR154" s="11"/>
      <c r="AS154" s="11"/>
      <c r="AT154" s="11"/>
      <c r="AU154" s="11"/>
      <c r="AV154" s="12"/>
      <c r="AW154">
        <v>1</v>
      </c>
      <c r="AX154">
        <v>1</v>
      </c>
      <c r="AY154">
        <v>1</v>
      </c>
    </row>
    <row r="155" spans="12:57" ht="15.75" customHeight="1" x14ac:dyDescent="0.25">
      <c r="L155" t="s">
        <v>320</v>
      </c>
      <c r="M155">
        <v>37.5</v>
      </c>
      <c r="N155">
        <f>$M155*2*1000</f>
        <v>75000</v>
      </c>
      <c r="O155">
        <v>1100</v>
      </c>
      <c r="P155" s="6">
        <v>200</v>
      </c>
      <c r="Q155" s="4">
        <v>75607</v>
      </c>
      <c r="R155" s="4" t="s">
        <v>63</v>
      </c>
      <c r="S155" s="11">
        <v>40</v>
      </c>
      <c r="T155" s="11">
        <v>40</v>
      </c>
      <c r="U155" s="11">
        <v>40</v>
      </c>
      <c r="V155" s="11">
        <v>40</v>
      </c>
      <c r="W155" s="11"/>
      <c r="X155" s="11"/>
      <c r="Y155" s="11"/>
      <c r="Z155" s="11"/>
      <c r="AA155" s="11"/>
      <c r="AB155" s="11"/>
      <c r="AC155" s="11"/>
      <c r="AD155" s="11"/>
      <c r="AE155" s="11"/>
      <c r="AF155" s="11"/>
      <c r="AG155" s="11"/>
      <c r="AH155" s="13">
        <v>32</v>
      </c>
      <c r="AI155" s="11">
        <v>32</v>
      </c>
      <c r="AJ155" s="11">
        <v>32</v>
      </c>
      <c r="AK155" s="11">
        <v>32</v>
      </c>
      <c r="AL155" s="11"/>
      <c r="AM155" s="11"/>
      <c r="AN155" s="11"/>
      <c r="AO155" s="11"/>
      <c r="AP155" s="11"/>
      <c r="AQ155" s="11"/>
      <c r="AR155" s="11"/>
      <c r="AS155" s="11"/>
      <c r="AT155" s="11"/>
      <c r="AU155" s="11"/>
      <c r="AV155" s="12"/>
      <c r="AW155">
        <v>2</v>
      </c>
      <c r="AX155">
        <v>2</v>
      </c>
      <c r="AY155">
        <v>2</v>
      </c>
      <c r="AZ155">
        <v>2</v>
      </c>
    </row>
    <row r="156" spans="12:57" ht="15.75" customHeight="1" x14ac:dyDescent="0.25">
      <c r="L156" t="s">
        <v>321</v>
      </c>
      <c r="M156">
        <v>37.5</v>
      </c>
      <c r="N156">
        <f>$M156*1.5*1000</f>
        <v>56250</v>
      </c>
      <c r="O156">
        <v>1100</v>
      </c>
      <c r="P156" s="6">
        <v>200</v>
      </c>
      <c r="Q156" s="15"/>
      <c r="R156" s="15"/>
      <c r="S156" s="11">
        <v>40</v>
      </c>
      <c r="T156" s="11">
        <v>40</v>
      </c>
      <c r="U156" s="11">
        <v>40</v>
      </c>
      <c r="V156" s="11">
        <v>40</v>
      </c>
      <c r="W156" s="11"/>
      <c r="X156" s="11"/>
      <c r="Y156" s="11"/>
      <c r="Z156" s="11"/>
      <c r="AA156" s="11"/>
      <c r="AB156" s="11"/>
      <c r="AC156" s="11"/>
      <c r="AD156" s="11"/>
      <c r="AE156" s="11"/>
      <c r="AF156" s="11"/>
      <c r="AG156" s="11"/>
      <c r="AH156" s="13">
        <v>32</v>
      </c>
      <c r="AI156" s="11">
        <v>32</v>
      </c>
      <c r="AJ156" s="11">
        <v>32</v>
      </c>
      <c r="AK156" s="11">
        <v>32</v>
      </c>
      <c r="AL156" s="11"/>
      <c r="AM156" s="11"/>
      <c r="AN156" s="11"/>
      <c r="AO156" s="11"/>
      <c r="AP156" s="11"/>
      <c r="AQ156" s="11"/>
      <c r="AR156" s="11"/>
      <c r="AS156" s="11"/>
      <c r="AT156" s="11"/>
      <c r="AU156" s="11"/>
      <c r="AV156" s="12"/>
      <c r="AW156">
        <v>2</v>
      </c>
      <c r="AX156">
        <v>2</v>
      </c>
      <c r="AY156">
        <v>2</v>
      </c>
      <c r="AZ156">
        <v>2</v>
      </c>
    </row>
    <row r="157" spans="12:57" ht="15.75" customHeight="1" x14ac:dyDescent="0.25">
      <c r="L157" t="s">
        <v>322</v>
      </c>
      <c r="M157">
        <v>60</v>
      </c>
      <c r="N157">
        <f>Table_2[[#This Row],[Pnom]]*2*1000</f>
        <v>120000</v>
      </c>
      <c r="O157">
        <v>1100</v>
      </c>
      <c r="P157" s="6">
        <v>195</v>
      </c>
      <c r="Q157" s="4">
        <v>83337</v>
      </c>
      <c r="R157" s="4" t="s">
        <v>63</v>
      </c>
      <c r="S157" s="11">
        <v>40</v>
      </c>
      <c r="T157" s="11">
        <v>40</v>
      </c>
      <c r="U157" s="11">
        <v>40</v>
      </c>
      <c r="V157" s="11">
        <v>40</v>
      </c>
      <c r="W157" s="11">
        <v>40</v>
      </c>
      <c r="X157" s="11">
        <v>40</v>
      </c>
      <c r="Y157" s="11"/>
      <c r="Z157" s="11"/>
      <c r="AA157" s="11"/>
      <c r="AB157" s="11"/>
      <c r="AC157" s="11"/>
      <c r="AD157" s="11"/>
      <c r="AE157" s="11"/>
      <c r="AF157" s="11"/>
      <c r="AG157" s="11"/>
      <c r="AH157" s="13">
        <v>32</v>
      </c>
      <c r="AI157" s="11">
        <v>32</v>
      </c>
      <c r="AJ157" s="11">
        <v>32</v>
      </c>
      <c r="AK157" s="11">
        <v>32</v>
      </c>
      <c r="AL157" s="11">
        <v>32</v>
      </c>
      <c r="AM157" s="11">
        <v>32</v>
      </c>
      <c r="AN157" s="11"/>
      <c r="AO157" s="11"/>
      <c r="AP157" s="11"/>
      <c r="AQ157" s="11"/>
      <c r="AR157" s="11"/>
      <c r="AS157" s="11"/>
      <c r="AT157" s="11"/>
      <c r="AU157" s="11"/>
      <c r="AV157" s="12"/>
      <c r="AW157">
        <v>2</v>
      </c>
      <c r="AX157">
        <v>2</v>
      </c>
      <c r="AY157">
        <v>2</v>
      </c>
      <c r="AZ157">
        <v>2</v>
      </c>
      <c r="BA157">
        <v>2</v>
      </c>
      <c r="BB157">
        <v>2</v>
      </c>
    </row>
    <row r="158" spans="12:57" ht="15.75" customHeight="1" x14ac:dyDescent="0.25">
      <c r="L158" t="s">
        <v>323</v>
      </c>
      <c r="M158">
        <v>60</v>
      </c>
      <c r="N158">
        <f>Table_2[[#This Row],[Pnom]]*1.5*1000</f>
        <v>90000</v>
      </c>
      <c r="O158">
        <v>1100</v>
      </c>
      <c r="P158" s="6">
        <v>195</v>
      </c>
      <c r="Q158" s="15"/>
      <c r="R158" s="15"/>
      <c r="S158" s="11">
        <v>40</v>
      </c>
      <c r="T158" s="11">
        <v>40</v>
      </c>
      <c r="U158" s="11">
        <v>40</v>
      </c>
      <c r="V158" s="11">
        <v>40</v>
      </c>
      <c r="W158" s="11">
        <v>40</v>
      </c>
      <c r="X158" s="11">
        <v>40</v>
      </c>
      <c r="Y158" s="11"/>
      <c r="Z158" s="11"/>
      <c r="AA158" s="11"/>
      <c r="AB158" s="11"/>
      <c r="AC158" s="11"/>
      <c r="AD158" s="11"/>
      <c r="AE158" s="11"/>
      <c r="AF158" s="11"/>
      <c r="AG158" s="11"/>
      <c r="AH158" s="13">
        <v>32</v>
      </c>
      <c r="AI158" s="11">
        <v>32</v>
      </c>
      <c r="AJ158" s="11">
        <v>32</v>
      </c>
      <c r="AK158" s="11">
        <v>32</v>
      </c>
      <c r="AL158" s="11">
        <v>32</v>
      </c>
      <c r="AM158" s="11">
        <v>32</v>
      </c>
      <c r="AN158" s="11"/>
      <c r="AO158" s="11"/>
      <c r="AP158" s="11"/>
      <c r="AQ158" s="11"/>
      <c r="AR158" s="11"/>
      <c r="AS158" s="11"/>
      <c r="AT158" s="11"/>
      <c r="AU158" s="11"/>
      <c r="AV158" s="12"/>
      <c r="AW158">
        <v>2</v>
      </c>
      <c r="AX158">
        <v>2</v>
      </c>
      <c r="AY158">
        <v>2</v>
      </c>
      <c r="AZ158">
        <v>2</v>
      </c>
      <c r="BA158">
        <v>2</v>
      </c>
      <c r="BB158">
        <v>2</v>
      </c>
    </row>
    <row r="159" spans="12:57" ht="15.75" customHeight="1" x14ac:dyDescent="0.25">
      <c r="L159" t="s">
        <v>324</v>
      </c>
      <c r="M159">
        <v>25</v>
      </c>
      <c r="N159">
        <v>42500</v>
      </c>
      <c r="O159">
        <v>1100</v>
      </c>
      <c r="P159" s="6">
        <v>180</v>
      </c>
      <c r="Q159" s="4"/>
      <c r="R159" s="4"/>
      <c r="S159">
        <v>40</v>
      </c>
      <c r="T159">
        <v>40</v>
      </c>
      <c r="U159">
        <v>40</v>
      </c>
      <c r="AH159" s="5">
        <v>32</v>
      </c>
      <c r="AI159">
        <v>32</v>
      </c>
      <c r="AJ159">
        <v>32</v>
      </c>
      <c r="AV159" s="6"/>
      <c r="AW159">
        <v>2</v>
      </c>
      <c r="AX159">
        <v>2</v>
      </c>
      <c r="AY159">
        <v>2</v>
      </c>
    </row>
    <row r="160" spans="12:57" ht="15.75" customHeight="1" x14ac:dyDescent="0.25">
      <c r="L160" t="s">
        <v>325</v>
      </c>
      <c r="M160">
        <v>30</v>
      </c>
      <c r="N160">
        <v>51000</v>
      </c>
      <c r="O160">
        <v>1100</v>
      </c>
      <c r="P160" s="6">
        <v>195</v>
      </c>
      <c r="Q160" s="15"/>
      <c r="R160" s="15"/>
      <c r="S160">
        <v>40</v>
      </c>
      <c r="T160">
        <v>40</v>
      </c>
      <c r="U160">
        <v>40</v>
      </c>
      <c r="V160">
        <v>40</v>
      </c>
      <c r="AH160" s="5">
        <v>32</v>
      </c>
      <c r="AI160">
        <v>32</v>
      </c>
      <c r="AJ160">
        <v>32</v>
      </c>
      <c r="AK160">
        <v>32</v>
      </c>
      <c r="AV160" s="6"/>
      <c r="AW160">
        <v>2</v>
      </c>
      <c r="AX160">
        <v>2</v>
      </c>
      <c r="AY160">
        <v>2</v>
      </c>
      <c r="AZ160">
        <v>2</v>
      </c>
    </row>
    <row r="161" spans="12:58" ht="15.75" customHeight="1" x14ac:dyDescent="0.25">
      <c r="L161" t="s">
        <v>326</v>
      </c>
      <c r="M161">
        <v>50</v>
      </c>
      <c r="N161">
        <v>85000</v>
      </c>
      <c r="O161">
        <v>1100</v>
      </c>
      <c r="P161" s="6">
        <v>195</v>
      </c>
      <c r="Q161" s="4"/>
      <c r="R161" s="4"/>
      <c r="S161">
        <v>40</v>
      </c>
      <c r="T161">
        <v>40</v>
      </c>
      <c r="U161">
        <v>40</v>
      </c>
      <c r="V161">
        <v>40</v>
      </c>
      <c r="W161">
        <v>40</v>
      </c>
      <c r="AH161" s="5">
        <v>32</v>
      </c>
      <c r="AI161">
        <v>32</v>
      </c>
      <c r="AJ161">
        <v>32</v>
      </c>
      <c r="AK161">
        <v>32</v>
      </c>
      <c r="AL161">
        <v>32</v>
      </c>
      <c r="AV161" s="6"/>
      <c r="AW161">
        <v>2</v>
      </c>
      <c r="AX161">
        <v>2</v>
      </c>
      <c r="AY161">
        <v>2</v>
      </c>
      <c r="AZ161">
        <v>2</v>
      </c>
      <c r="BA161">
        <v>2</v>
      </c>
    </row>
    <row r="162" spans="12:58" ht="15.75" customHeight="1" x14ac:dyDescent="0.25">
      <c r="L162" t="s">
        <v>327</v>
      </c>
      <c r="M162">
        <v>20</v>
      </c>
      <c r="N162">
        <v>34000</v>
      </c>
      <c r="O162">
        <v>1100</v>
      </c>
      <c r="P162" s="6">
        <v>180</v>
      </c>
      <c r="Q162" s="15"/>
      <c r="R162" s="15"/>
      <c r="S162">
        <v>40</v>
      </c>
      <c r="T162">
        <v>40</v>
      </c>
      <c r="AH162" s="5">
        <v>32</v>
      </c>
      <c r="AI162">
        <v>32</v>
      </c>
      <c r="AV162" s="6"/>
      <c r="AW162">
        <v>2</v>
      </c>
      <c r="AX162">
        <v>2</v>
      </c>
    </row>
    <row r="163" spans="12:58" ht="15.75" customHeight="1" x14ac:dyDescent="0.25">
      <c r="L163" t="s">
        <v>328</v>
      </c>
      <c r="M163">
        <v>100</v>
      </c>
      <c r="N163">
        <v>170000</v>
      </c>
      <c r="O163">
        <v>1100</v>
      </c>
      <c r="P163" s="6">
        <v>180</v>
      </c>
      <c r="Q163" s="4">
        <v>184846</v>
      </c>
      <c r="R163" s="4" t="s">
        <v>63</v>
      </c>
      <c r="S163">
        <v>50</v>
      </c>
      <c r="T163">
        <v>50</v>
      </c>
      <c r="U163">
        <v>50</v>
      </c>
      <c r="V163">
        <v>50</v>
      </c>
      <c r="W163">
        <v>50</v>
      </c>
      <c r="X163">
        <v>50</v>
      </c>
      <c r="Y163">
        <v>50</v>
      </c>
      <c r="Z163">
        <v>50</v>
      </c>
      <c r="AA163">
        <v>50</v>
      </c>
      <c r="AB163">
        <v>50</v>
      </c>
      <c r="AH163" s="5">
        <v>42</v>
      </c>
      <c r="AI163">
        <v>36</v>
      </c>
      <c r="AJ163">
        <v>42</v>
      </c>
      <c r="AK163">
        <v>36</v>
      </c>
      <c r="AL163">
        <v>42</v>
      </c>
      <c r="AM163">
        <v>36</v>
      </c>
      <c r="AN163">
        <v>42</v>
      </c>
      <c r="AO163">
        <v>36</v>
      </c>
      <c r="AP163">
        <v>42</v>
      </c>
      <c r="AQ163">
        <v>36</v>
      </c>
      <c r="AV163" s="6"/>
      <c r="AW163">
        <v>2</v>
      </c>
      <c r="AX163">
        <v>2</v>
      </c>
      <c r="AY163">
        <v>2</v>
      </c>
      <c r="AZ163">
        <v>2</v>
      </c>
      <c r="BA163">
        <v>2</v>
      </c>
      <c r="BB163">
        <v>2</v>
      </c>
      <c r="BC163">
        <v>2</v>
      </c>
      <c r="BD163">
        <v>2</v>
      </c>
      <c r="BE163">
        <v>2</v>
      </c>
      <c r="BF163">
        <v>2</v>
      </c>
    </row>
    <row r="164" spans="12:58" ht="15.75" customHeight="1" x14ac:dyDescent="0.25">
      <c r="L164" t="s">
        <v>329</v>
      </c>
      <c r="M164">
        <v>75</v>
      </c>
      <c r="N164">
        <v>128000</v>
      </c>
      <c r="O164">
        <v>1100</v>
      </c>
      <c r="P164" s="6">
        <v>180</v>
      </c>
      <c r="Q164" s="15"/>
      <c r="R164" s="15"/>
      <c r="S164" s="3">
        <v>50</v>
      </c>
      <c r="T164">
        <v>50</v>
      </c>
      <c r="U164">
        <v>50</v>
      </c>
      <c r="V164">
        <v>50</v>
      </c>
      <c r="W164">
        <v>50</v>
      </c>
      <c r="X164">
        <v>50</v>
      </c>
      <c r="Y164">
        <v>50</v>
      </c>
      <c r="Z164">
        <v>50</v>
      </c>
      <c r="AH164" s="8">
        <v>42</v>
      </c>
      <c r="AI164">
        <v>36</v>
      </c>
      <c r="AJ164">
        <v>42</v>
      </c>
      <c r="AK164">
        <v>36</v>
      </c>
      <c r="AL164">
        <v>42</v>
      </c>
      <c r="AM164">
        <v>36</v>
      </c>
      <c r="AN164">
        <v>42</v>
      </c>
      <c r="AO164">
        <v>36</v>
      </c>
      <c r="AV164" s="9"/>
      <c r="AW164">
        <v>2</v>
      </c>
      <c r="AX164">
        <v>2</v>
      </c>
      <c r="AY164">
        <v>2</v>
      </c>
      <c r="AZ164">
        <v>2</v>
      </c>
      <c r="BA164">
        <v>2</v>
      </c>
      <c r="BB164">
        <v>2</v>
      </c>
      <c r="BC164">
        <v>2</v>
      </c>
      <c r="BD164">
        <v>2</v>
      </c>
    </row>
    <row r="165" spans="12:58" ht="15.75" customHeight="1" x14ac:dyDescent="0.25">
      <c r="L165" t="s">
        <v>330</v>
      </c>
      <c r="M165">
        <v>5</v>
      </c>
      <c r="N165">
        <v>8500</v>
      </c>
      <c r="O165">
        <v>600</v>
      </c>
      <c r="P165" s="9">
        <v>120</v>
      </c>
      <c r="Q165" s="4"/>
      <c r="R165" s="4"/>
      <c r="S165" s="11">
        <v>22</v>
      </c>
      <c r="T165" s="11">
        <v>22</v>
      </c>
      <c r="U165" s="11"/>
      <c r="V165" s="11"/>
      <c r="W165" s="11"/>
      <c r="X165" s="11"/>
      <c r="Y165" s="11"/>
      <c r="Z165" s="11"/>
      <c r="AA165" s="11"/>
      <c r="AB165" s="11"/>
      <c r="AC165" s="11"/>
      <c r="AD165" s="11"/>
      <c r="AE165" s="11"/>
      <c r="AF165" s="11"/>
      <c r="AG165" s="11"/>
      <c r="AH165" s="13">
        <v>14</v>
      </c>
      <c r="AI165" s="11">
        <v>14</v>
      </c>
      <c r="AJ165" s="11"/>
      <c r="AK165" s="11"/>
      <c r="AL165" s="11"/>
      <c r="AM165" s="11"/>
      <c r="AN165" s="11"/>
      <c r="AO165" s="11"/>
      <c r="AP165" s="11"/>
      <c r="AQ165" s="11"/>
      <c r="AR165" s="11"/>
      <c r="AS165" s="11"/>
      <c r="AT165" s="11"/>
      <c r="AU165" s="11"/>
      <c r="AV165" s="12"/>
      <c r="AW165">
        <v>1</v>
      </c>
      <c r="AX165">
        <v>1</v>
      </c>
    </row>
    <row r="166" spans="12:58" ht="15.75" customHeight="1" x14ac:dyDescent="0.25">
      <c r="L166" t="s">
        <v>331</v>
      </c>
      <c r="M166">
        <v>5</v>
      </c>
      <c r="N166">
        <v>8500</v>
      </c>
      <c r="O166">
        <v>550</v>
      </c>
      <c r="P166" s="6">
        <v>100</v>
      </c>
      <c r="Q166" s="15">
        <v>105322</v>
      </c>
      <c r="R166" s="15" t="s">
        <v>63</v>
      </c>
      <c r="S166" s="3">
        <v>22</v>
      </c>
      <c r="T166">
        <v>22</v>
      </c>
      <c r="AH166" s="8">
        <v>16</v>
      </c>
      <c r="AI166">
        <v>16</v>
      </c>
      <c r="AV166" s="9"/>
      <c r="AW166">
        <v>1</v>
      </c>
      <c r="AX166">
        <v>1</v>
      </c>
    </row>
    <row r="167" spans="12:58" ht="15.75" customHeight="1" x14ac:dyDescent="0.25">
      <c r="L167" t="s">
        <v>332</v>
      </c>
      <c r="M167">
        <v>5</v>
      </c>
      <c r="N167">
        <v>7500</v>
      </c>
      <c r="O167">
        <v>600</v>
      </c>
      <c r="P167" s="6">
        <v>120</v>
      </c>
      <c r="Q167" s="4"/>
      <c r="R167" s="4"/>
      <c r="S167" s="11">
        <v>17.2</v>
      </c>
      <c r="T167" s="11">
        <v>17.2</v>
      </c>
      <c r="U167" s="11"/>
      <c r="V167" s="11"/>
      <c r="W167" s="11"/>
      <c r="X167" s="11"/>
      <c r="Y167" s="11"/>
      <c r="Z167" s="11"/>
      <c r="AA167" s="11"/>
      <c r="AB167" s="11"/>
      <c r="AC167" s="11"/>
      <c r="AD167" s="11"/>
      <c r="AE167" s="11"/>
      <c r="AF167" s="11"/>
      <c r="AG167" s="11"/>
      <c r="AH167" s="13">
        <v>11</v>
      </c>
      <c r="AI167" s="11">
        <v>11</v>
      </c>
      <c r="AJ167" s="11"/>
      <c r="AK167" s="11"/>
      <c r="AL167" s="11"/>
      <c r="AM167" s="11"/>
      <c r="AN167" s="11"/>
      <c r="AO167" s="11"/>
      <c r="AP167" s="11"/>
      <c r="AQ167" s="11"/>
      <c r="AR167" s="11"/>
      <c r="AS167" s="11"/>
      <c r="AT167" s="11"/>
      <c r="AU167" s="11"/>
      <c r="AV167" s="12"/>
      <c r="AW167">
        <v>1</v>
      </c>
      <c r="AX167">
        <v>1</v>
      </c>
    </row>
    <row r="168" spans="12:58" ht="15.75" customHeight="1" x14ac:dyDescent="0.25">
      <c r="L168" t="s">
        <v>333</v>
      </c>
      <c r="M168">
        <v>60</v>
      </c>
      <c r="N168">
        <v>112000</v>
      </c>
      <c r="O168">
        <v>800</v>
      </c>
      <c r="P168" s="6">
        <v>180</v>
      </c>
      <c r="Q168" s="15"/>
      <c r="R168" s="15"/>
      <c r="S168" s="3">
        <v>50</v>
      </c>
      <c r="T168">
        <v>50</v>
      </c>
      <c r="U168">
        <v>50</v>
      </c>
      <c r="V168">
        <v>50</v>
      </c>
      <c r="W168">
        <v>50</v>
      </c>
      <c r="X168">
        <v>50</v>
      </c>
      <c r="Y168">
        <v>50</v>
      </c>
      <c r="Z168">
        <v>50</v>
      </c>
      <c r="AG168" s="3"/>
      <c r="AH168" s="13">
        <v>40</v>
      </c>
      <c r="AI168" s="11">
        <v>40</v>
      </c>
      <c r="AJ168" s="11">
        <v>40</v>
      </c>
      <c r="AK168" s="11">
        <v>40</v>
      </c>
      <c r="AL168" s="11">
        <v>20</v>
      </c>
      <c r="AM168" s="11">
        <v>20</v>
      </c>
      <c r="AN168" s="11">
        <v>20</v>
      </c>
      <c r="AO168" s="11">
        <v>20</v>
      </c>
      <c r="AP168" s="11"/>
      <c r="AQ168" s="11"/>
      <c r="AR168" s="11"/>
      <c r="AS168" s="11"/>
      <c r="AT168" s="11"/>
      <c r="AU168" s="11"/>
      <c r="AV168" s="12"/>
      <c r="AW168">
        <v>2</v>
      </c>
      <c r="AX168">
        <v>2</v>
      </c>
      <c r="AY168">
        <v>2</v>
      </c>
      <c r="AZ168">
        <v>2</v>
      </c>
      <c r="BA168">
        <v>1</v>
      </c>
      <c r="BB168">
        <v>1</v>
      </c>
      <c r="BC168">
        <v>1</v>
      </c>
      <c r="BD168">
        <v>1</v>
      </c>
    </row>
    <row r="169" spans="12:58" ht="15.75" customHeight="1" x14ac:dyDescent="0.25">
      <c r="L169" t="s">
        <v>334</v>
      </c>
      <c r="M169">
        <v>60</v>
      </c>
      <c r="N169">
        <v>112000</v>
      </c>
      <c r="O169">
        <v>800</v>
      </c>
      <c r="P169" s="6">
        <v>180</v>
      </c>
      <c r="Q169" s="4"/>
      <c r="R169" s="4"/>
      <c r="S169" s="3">
        <v>50</v>
      </c>
      <c r="T169">
        <v>50</v>
      </c>
      <c r="U169">
        <v>50</v>
      </c>
      <c r="V169">
        <v>50</v>
      </c>
      <c r="W169">
        <v>50</v>
      </c>
      <c r="X169">
        <v>50</v>
      </c>
      <c r="Y169">
        <v>50</v>
      </c>
      <c r="Z169">
        <v>50</v>
      </c>
      <c r="AG169" s="3"/>
      <c r="AH169" s="5">
        <v>40</v>
      </c>
      <c r="AI169">
        <v>40</v>
      </c>
      <c r="AJ169">
        <v>40</v>
      </c>
      <c r="AK169">
        <v>40</v>
      </c>
      <c r="AL169">
        <v>20</v>
      </c>
      <c r="AM169">
        <v>20</v>
      </c>
      <c r="AN169">
        <v>20</v>
      </c>
      <c r="AO169">
        <v>20</v>
      </c>
      <c r="AV169" s="9"/>
      <c r="AW169">
        <v>2</v>
      </c>
      <c r="AX169">
        <v>2</v>
      </c>
      <c r="AY169">
        <v>2</v>
      </c>
      <c r="AZ169">
        <v>2</v>
      </c>
      <c r="BA169">
        <v>2</v>
      </c>
      <c r="BB169">
        <v>2</v>
      </c>
      <c r="BC169">
        <v>2</v>
      </c>
      <c r="BD169">
        <v>2</v>
      </c>
    </row>
    <row r="170" spans="12:58" ht="15.75" customHeight="1" x14ac:dyDescent="0.25">
      <c r="L170" t="s">
        <v>335</v>
      </c>
      <c r="M170">
        <v>75</v>
      </c>
      <c r="N170">
        <v>150000</v>
      </c>
      <c r="O170">
        <v>800</v>
      </c>
      <c r="P170" s="6">
        <v>180</v>
      </c>
      <c r="Q170" s="15"/>
      <c r="R170" s="15"/>
      <c r="S170" s="11">
        <v>50</v>
      </c>
      <c r="T170" s="11">
        <v>50</v>
      </c>
      <c r="U170" s="11">
        <v>50</v>
      </c>
      <c r="V170" s="11">
        <v>50</v>
      </c>
      <c r="W170" s="11">
        <v>50</v>
      </c>
      <c r="X170" s="11">
        <v>50</v>
      </c>
      <c r="Y170" s="11">
        <v>50</v>
      </c>
      <c r="Z170" s="11">
        <v>50</v>
      </c>
      <c r="AA170" s="11"/>
      <c r="AB170" s="11"/>
      <c r="AC170" s="11"/>
      <c r="AD170" s="11"/>
      <c r="AE170" s="11"/>
      <c r="AF170" s="11"/>
      <c r="AG170" s="11"/>
      <c r="AH170" s="13">
        <v>40</v>
      </c>
      <c r="AI170" s="11">
        <v>40</v>
      </c>
      <c r="AJ170" s="11">
        <v>40</v>
      </c>
      <c r="AK170" s="11">
        <v>40</v>
      </c>
      <c r="AL170" s="11">
        <v>20</v>
      </c>
      <c r="AM170" s="11">
        <v>20</v>
      </c>
      <c r="AN170" s="11">
        <v>20</v>
      </c>
      <c r="AO170" s="11">
        <v>20</v>
      </c>
      <c r="AP170" s="11"/>
      <c r="AQ170" s="11"/>
      <c r="AR170" s="11"/>
      <c r="AS170" s="11"/>
      <c r="AT170" s="11"/>
      <c r="AU170" s="11"/>
      <c r="AV170" s="12"/>
      <c r="AW170">
        <v>2</v>
      </c>
      <c r="AX170">
        <v>2</v>
      </c>
      <c r="AY170">
        <v>2</v>
      </c>
      <c r="AZ170">
        <v>2</v>
      </c>
      <c r="BA170">
        <v>1</v>
      </c>
      <c r="BB170">
        <v>1</v>
      </c>
      <c r="BC170">
        <v>1</v>
      </c>
      <c r="BD170">
        <v>1</v>
      </c>
    </row>
    <row r="171" spans="12:58" ht="15.75" customHeight="1" x14ac:dyDescent="0.25">
      <c r="L171" t="s">
        <v>336</v>
      </c>
      <c r="M171">
        <v>75</v>
      </c>
      <c r="N171">
        <v>150000</v>
      </c>
      <c r="O171">
        <v>800</v>
      </c>
      <c r="P171" s="6">
        <v>180</v>
      </c>
      <c r="Q171" s="4"/>
      <c r="R171" s="4"/>
      <c r="S171" s="3">
        <v>50</v>
      </c>
      <c r="T171">
        <v>50</v>
      </c>
      <c r="U171">
        <v>50</v>
      </c>
      <c r="V171">
        <v>50</v>
      </c>
      <c r="W171">
        <v>50</v>
      </c>
      <c r="X171">
        <v>50</v>
      </c>
      <c r="Y171">
        <v>50</v>
      </c>
      <c r="Z171">
        <v>50</v>
      </c>
      <c r="AG171" s="3"/>
      <c r="AH171" s="5">
        <v>40</v>
      </c>
      <c r="AI171">
        <v>40</v>
      </c>
      <c r="AJ171">
        <v>40</v>
      </c>
      <c r="AK171">
        <v>40</v>
      </c>
      <c r="AL171">
        <v>20</v>
      </c>
      <c r="AM171">
        <v>20</v>
      </c>
      <c r="AN171">
        <v>20</v>
      </c>
      <c r="AO171">
        <v>20</v>
      </c>
      <c r="AV171" s="9"/>
      <c r="AW171">
        <v>2</v>
      </c>
      <c r="AX171">
        <v>2</v>
      </c>
      <c r="AY171">
        <v>2</v>
      </c>
      <c r="AZ171">
        <v>2</v>
      </c>
      <c r="BA171">
        <v>2</v>
      </c>
      <c r="BB171">
        <v>2</v>
      </c>
      <c r="BC171">
        <v>2</v>
      </c>
      <c r="BD171">
        <v>2</v>
      </c>
    </row>
    <row r="172" spans="12:58" ht="15.75" customHeight="1" x14ac:dyDescent="0.25">
      <c r="L172" t="s">
        <v>337</v>
      </c>
      <c r="M172">
        <v>50</v>
      </c>
      <c r="N172">
        <f>Table_2[[#This Row],[Pnom]]*1000*1.6</f>
        <v>80000</v>
      </c>
      <c r="O172">
        <v>800</v>
      </c>
      <c r="P172" s="9">
        <v>200</v>
      </c>
      <c r="Q172" s="15">
        <v>154005</v>
      </c>
      <c r="R172" s="15" t="s">
        <v>63</v>
      </c>
      <c r="S172">
        <v>48</v>
      </c>
      <c r="T172">
        <v>48</v>
      </c>
      <c r="U172">
        <v>48</v>
      </c>
      <c r="V172">
        <v>48</v>
      </c>
      <c r="W172">
        <v>48</v>
      </c>
      <c r="X172">
        <v>48</v>
      </c>
      <c r="AH172" s="8">
        <v>32</v>
      </c>
      <c r="AI172" s="3">
        <v>32</v>
      </c>
      <c r="AJ172" s="3">
        <v>32</v>
      </c>
      <c r="AK172" s="3">
        <v>32</v>
      </c>
      <c r="AL172" s="3">
        <v>32</v>
      </c>
      <c r="AM172" s="3">
        <v>32</v>
      </c>
      <c r="AN172" s="3"/>
      <c r="AO172" s="3"/>
      <c r="AV172" s="9"/>
      <c r="AW172">
        <v>2</v>
      </c>
      <c r="AX172">
        <v>2</v>
      </c>
      <c r="AY172">
        <v>2</v>
      </c>
      <c r="AZ172">
        <v>2</v>
      </c>
      <c r="BA172">
        <v>2</v>
      </c>
      <c r="BB172">
        <v>2</v>
      </c>
    </row>
    <row r="173" spans="12:58" ht="15.75" customHeight="1" x14ac:dyDescent="0.25">
      <c r="L173" t="s">
        <v>338</v>
      </c>
      <c r="M173">
        <v>10</v>
      </c>
      <c r="N173">
        <f>Table_2[[#This Row],[Pnom]]*1.6*1000</f>
        <v>16000</v>
      </c>
      <c r="O173">
        <v>600</v>
      </c>
      <c r="P173" s="9">
        <v>100</v>
      </c>
      <c r="Q173" s="4">
        <v>152041</v>
      </c>
      <c r="R173" s="4" t="s">
        <v>63</v>
      </c>
      <c r="S173">
        <v>28</v>
      </c>
      <c r="T173">
        <v>22.5</v>
      </c>
      <c r="U173">
        <v>28</v>
      </c>
      <c r="V173" s="11"/>
      <c r="W173" s="11"/>
      <c r="X173" s="11"/>
      <c r="Y173" s="11"/>
      <c r="Z173" s="11"/>
      <c r="AA173" s="11"/>
      <c r="AB173" s="11"/>
      <c r="AC173" s="11"/>
      <c r="AD173" s="11"/>
      <c r="AE173" s="11"/>
      <c r="AF173" s="11"/>
      <c r="AG173" s="11"/>
      <c r="AH173" s="13">
        <v>20</v>
      </c>
      <c r="AI173" s="11">
        <v>16</v>
      </c>
      <c r="AJ173" s="11">
        <v>20</v>
      </c>
      <c r="AK173" s="11"/>
      <c r="AL173" s="11"/>
      <c r="AM173" s="11"/>
      <c r="AN173" s="11"/>
      <c r="AO173" s="11"/>
      <c r="AP173" s="11"/>
      <c r="AQ173" s="11"/>
      <c r="AR173" s="11"/>
      <c r="AS173" s="11"/>
      <c r="AT173" s="11"/>
      <c r="AU173" s="11"/>
      <c r="AV173" s="12"/>
      <c r="AW173">
        <v>1</v>
      </c>
      <c r="AX173">
        <v>1</v>
      </c>
      <c r="AY173">
        <v>1</v>
      </c>
    </row>
    <row r="174" spans="12:58" ht="15.75" customHeight="1" x14ac:dyDescent="0.25">
      <c r="L174" t="s">
        <v>339</v>
      </c>
      <c r="M174">
        <v>12</v>
      </c>
      <c r="N174">
        <f>Table_2[[#This Row],[Pnom]]*1.6*1000</f>
        <v>19200.000000000004</v>
      </c>
      <c r="O174">
        <v>950</v>
      </c>
      <c r="P174" s="9">
        <v>180</v>
      </c>
      <c r="Q174" s="15"/>
      <c r="R174" s="15"/>
      <c r="S174">
        <v>48</v>
      </c>
      <c r="T174">
        <v>30</v>
      </c>
      <c r="AH174" s="8">
        <v>32</v>
      </c>
      <c r="AI174">
        <v>20</v>
      </c>
      <c r="AV174" s="9"/>
      <c r="AW174">
        <v>2</v>
      </c>
      <c r="AX174">
        <v>1</v>
      </c>
    </row>
    <row r="175" spans="12:58" ht="15.75" customHeight="1" x14ac:dyDescent="0.25">
      <c r="L175" t="s">
        <v>340</v>
      </c>
      <c r="M175">
        <v>15</v>
      </c>
      <c r="N175">
        <f>Table_2[[#This Row],[Pnom]]*1.6*1000</f>
        <v>24000</v>
      </c>
      <c r="O175">
        <v>950</v>
      </c>
      <c r="P175" s="9">
        <v>180</v>
      </c>
      <c r="Q175" s="4"/>
      <c r="R175" s="4"/>
      <c r="S175" s="11">
        <v>48</v>
      </c>
      <c r="T175" s="11">
        <v>30</v>
      </c>
      <c r="U175" s="11"/>
      <c r="V175" s="11"/>
      <c r="W175" s="11"/>
      <c r="X175" s="11"/>
      <c r="Y175" s="11"/>
      <c r="Z175" s="11"/>
      <c r="AA175" s="11"/>
      <c r="AB175" s="11"/>
      <c r="AC175" s="11"/>
      <c r="AD175" s="11"/>
      <c r="AE175" s="11"/>
      <c r="AF175" s="11"/>
      <c r="AG175" s="11"/>
      <c r="AH175" s="13">
        <v>32</v>
      </c>
      <c r="AI175" s="11">
        <v>20</v>
      </c>
      <c r="AJ175" s="11"/>
      <c r="AK175" s="11"/>
      <c r="AL175" s="11"/>
      <c r="AM175" s="11"/>
      <c r="AN175" s="11"/>
      <c r="AO175" s="11"/>
      <c r="AP175" s="11"/>
      <c r="AQ175" s="11"/>
      <c r="AR175" s="11"/>
      <c r="AS175" s="11"/>
      <c r="AT175" s="11"/>
      <c r="AU175" s="11"/>
      <c r="AV175" s="12"/>
      <c r="AW175">
        <v>2</v>
      </c>
      <c r="AX175">
        <v>1</v>
      </c>
    </row>
    <row r="176" spans="12:58" ht="15.75" customHeight="1" x14ac:dyDescent="0.25">
      <c r="L176" t="s">
        <v>341</v>
      </c>
      <c r="M176">
        <v>15</v>
      </c>
      <c r="N176">
        <f>Table_2[[#This Row],[Pnom]]*1.6*1000</f>
        <v>24000</v>
      </c>
      <c r="O176">
        <v>800</v>
      </c>
      <c r="P176" s="9">
        <v>180</v>
      </c>
      <c r="Q176" s="15">
        <v>152048</v>
      </c>
      <c r="R176" s="15" t="s">
        <v>63</v>
      </c>
      <c r="S176" s="11">
        <v>60</v>
      </c>
      <c r="T176" s="11">
        <v>48</v>
      </c>
      <c r="U176" s="11"/>
      <c r="V176" s="11"/>
      <c r="W176" s="11"/>
      <c r="X176" s="11"/>
      <c r="Y176" s="11"/>
      <c r="Z176" s="11"/>
      <c r="AA176" s="11"/>
      <c r="AB176" s="11"/>
      <c r="AC176" s="11"/>
      <c r="AD176" s="11"/>
      <c r="AE176" s="11"/>
      <c r="AF176" s="11"/>
      <c r="AG176" s="11"/>
      <c r="AH176" s="13">
        <v>40</v>
      </c>
      <c r="AI176" s="11">
        <v>32</v>
      </c>
      <c r="AJ176" s="11"/>
      <c r="AK176" s="11"/>
      <c r="AL176" s="11"/>
      <c r="AM176" s="11"/>
      <c r="AN176" s="11"/>
      <c r="AO176" s="11"/>
      <c r="AP176" s="11"/>
      <c r="AQ176" s="11"/>
      <c r="AR176" s="11"/>
      <c r="AS176" s="11"/>
      <c r="AT176" s="11"/>
      <c r="AU176" s="11"/>
      <c r="AV176" s="12"/>
      <c r="AW176">
        <v>2</v>
      </c>
      <c r="AX176">
        <v>2</v>
      </c>
    </row>
    <row r="177" spans="12:53" ht="15.75" customHeight="1" x14ac:dyDescent="0.25">
      <c r="L177" t="s">
        <v>342</v>
      </c>
      <c r="M177">
        <v>17</v>
      </c>
      <c r="N177">
        <v>27200</v>
      </c>
      <c r="O177">
        <v>950</v>
      </c>
      <c r="P177" s="9">
        <v>180</v>
      </c>
      <c r="Q177" s="4"/>
      <c r="R177" s="4"/>
      <c r="S177">
        <v>48</v>
      </c>
      <c r="T177">
        <v>48</v>
      </c>
      <c r="AH177" s="13">
        <v>32</v>
      </c>
      <c r="AI177" s="11">
        <v>32</v>
      </c>
      <c r="AJ177" s="11"/>
      <c r="AK177" s="11"/>
      <c r="AL177" s="11"/>
      <c r="AM177" s="11"/>
      <c r="AN177" s="11"/>
      <c r="AO177" s="11"/>
      <c r="AP177" s="11"/>
      <c r="AQ177" s="11"/>
      <c r="AR177" s="11"/>
      <c r="AS177" s="11"/>
      <c r="AT177" s="11"/>
      <c r="AU177" s="11"/>
      <c r="AV177" s="12"/>
      <c r="AW177">
        <v>2</v>
      </c>
      <c r="AX177">
        <v>2</v>
      </c>
    </row>
    <row r="178" spans="12:53" ht="15.75" customHeight="1" x14ac:dyDescent="0.25">
      <c r="L178" t="s">
        <v>343</v>
      </c>
      <c r="M178">
        <v>17</v>
      </c>
      <c r="N178">
        <f>Table_2[[#This Row],[Pnom]]*1.6*1000</f>
        <v>27200.000000000004</v>
      </c>
      <c r="O178">
        <v>950</v>
      </c>
      <c r="P178" s="9">
        <v>150</v>
      </c>
      <c r="Q178" s="15"/>
      <c r="R178" s="15"/>
      <c r="S178">
        <v>48</v>
      </c>
      <c r="T178">
        <v>48</v>
      </c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13">
        <v>32</v>
      </c>
      <c r="AI178" s="11">
        <v>32</v>
      </c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1"/>
      <c r="AW178">
        <v>2</v>
      </c>
      <c r="AX178">
        <v>2</v>
      </c>
    </row>
    <row r="179" spans="12:53" ht="15.75" customHeight="1" x14ac:dyDescent="0.25">
      <c r="L179" t="s">
        <v>344</v>
      </c>
      <c r="M179">
        <v>20</v>
      </c>
      <c r="N179">
        <f>Table_2[[#This Row],[Pnom]]*1.6*1000</f>
        <v>32000</v>
      </c>
      <c r="O179">
        <v>950</v>
      </c>
      <c r="P179" s="3">
        <v>180</v>
      </c>
      <c r="Q179" s="4">
        <v>52731</v>
      </c>
      <c r="R179" s="4" t="s">
        <v>63</v>
      </c>
      <c r="S179" s="13">
        <v>48</v>
      </c>
      <c r="T179" s="11">
        <v>48</v>
      </c>
      <c r="U179" s="11"/>
      <c r="V179" s="11"/>
      <c r="W179" s="11"/>
      <c r="X179" s="11"/>
      <c r="Y179" s="11"/>
      <c r="Z179" s="11"/>
      <c r="AA179" s="11"/>
      <c r="AB179" s="11"/>
      <c r="AC179" s="11"/>
      <c r="AD179" s="11"/>
      <c r="AE179" s="11"/>
      <c r="AF179" s="11"/>
      <c r="AG179" s="12"/>
      <c r="AH179" s="11">
        <v>32</v>
      </c>
      <c r="AI179" s="11">
        <v>32</v>
      </c>
      <c r="AJ179" s="11"/>
      <c r="AK179" s="11"/>
      <c r="AL179" s="11"/>
      <c r="AM179" s="11"/>
      <c r="AN179" s="11"/>
      <c r="AO179" s="11"/>
      <c r="AP179" s="11"/>
      <c r="AQ179" s="11"/>
      <c r="AR179" s="11"/>
      <c r="AS179" s="11"/>
      <c r="AT179" s="11"/>
      <c r="AU179" s="11"/>
      <c r="AV179" s="12"/>
      <c r="AW179">
        <v>2</v>
      </c>
      <c r="AX179">
        <v>2</v>
      </c>
    </row>
    <row r="180" spans="12:53" ht="15.75" customHeight="1" x14ac:dyDescent="0.25">
      <c r="L180" t="s">
        <v>345</v>
      </c>
      <c r="M180">
        <v>20</v>
      </c>
      <c r="N180">
        <f>Table_2[[#This Row],[Pnom]]*1.6*1000</f>
        <v>32000</v>
      </c>
      <c r="O180">
        <v>800</v>
      </c>
      <c r="P180" s="3">
        <v>200</v>
      </c>
      <c r="Q180" s="15">
        <v>152049</v>
      </c>
      <c r="R180" s="15" t="s">
        <v>63</v>
      </c>
      <c r="S180" s="5">
        <v>48</v>
      </c>
      <c r="T180">
        <v>48</v>
      </c>
      <c r="U180">
        <v>48</v>
      </c>
      <c r="V180" s="11"/>
      <c r="W180" s="11"/>
      <c r="X180" s="11"/>
      <c r="Y180" s="11"/>
      <c r="Z180" s="11"/>
      <c r="AA180" s="11"/>
      <c r="AB180" s="11"/>
      <c r="AC180" s="11"/>
      <c r="AD180" s="11"/>
      <c r="AE180" s="11"/>
      <c r="AF180" s="11"/>
      <c r="AG180" s="12"/>
      <c r="AH180" s="11">
        <v>32</v>
      </c>
      <c r="AI180" s="11">
        <v>32</v>
      </c>
      <c r="AJ180" s="11">
        <v>32</v>
      </c>
      <c r="AK180" s="11"/>
      <c r="AL180" s="11"/>
      <c r="AM180" s="11"/>
      <c r="AN180" s="11"/>
      <c r="AO180" s="11"/>
      <c r="AP180" s="11"/>
      <c r="AQ180" s="11"/>
      <c r="AR180" s="11"/>
      <c r="AS180" s="11"/>
      <c r="AT180" s="11"/>
      <c r="AU180" s="11"/>
      <c r="AV180" s="12"/>
      <c r="AW180">
        <v>2</v>
      </c>
      <c r="AX180">
        <v>2</v>
      </c>
      <c r="AY180">
        <v>2</v>
      </c>
    </row>
    <row r="181" spans="12:53" ht="15.75" customHeight="1" x14ac:dyDescent="0.25">
      <c r="L181" t="s">
        <v>346</v>
      </c>
      <c r="M181">
        <v>250</v>
      </c>
      <c r="N181">
        <v>400000</v>
      </c>
      <c r="O181">
        <v>1500</v>
      </c>
      <c r="P181" s="3">
        <v>550</v>
      </c>
      <c r="Q181" s="4"/>
      <c r="R181" s="4"/>
      <c r="S181" s="5">
        <v>113</v>
      </c>
      <c r="T181">
        <v>113</v>
      </c>
      <c r="U181">
        <v>113</v>
      </c>
      <c r="V181">
        <v>113</v>
      </c>
      <c r="W181">
        <v>113</v>
      </c>
      <c r="AG181" s="6"/>
      <c r="AH181" s="3">
        <v>75</v>
      </c>
      <c r="AI181">
        <v>75</v>
      </c>
      <c r="AJ181">
        <v>75</v>
      </c>
      <c r="AK181">
        <v>75</v>
      </c>
      <c r="AL181">
        <v>75</v>
      </c>
      <c r="AV181" s="9"/>
      <c r="AW181">
        <v>5</v>
      </c>
      <c r="AX181">
        <v>5</v>
      </c>
      <c r="AY181">
        <v>5</v>
      </c>
      <c r="AZ181">
        <v>5</v>
      </c>
      <c r="BA181">
        <v>5</v>
      </c>
    </row>
    <row r="182" spans="12:53" ht="15.75" customHeight="1" x14ac:dyDescent="0.25">
      <c r="L182" t="s">
        <v>347</v>
      </c>
      <c r="M182">
        <v>25</v>
      </c>
      <c r="N182">
        <f>Table_2[[#This Row],[Pnom]]*1.6*1000</f>
        <v>40000</v>
      </c>
      <c r="O182">
        <v>950</v>
      </c>
      <c r="P182" s="3">
        <v>180</v>
      </c>
      <c r="Q182" s="15"/>
      <c r="R182" s="15"/>
      <c r="S182" s="13">
        <v>60</v>
      </c>
      <c r="T182" s="11">
        <v>48</v>
      </c>
      <c r="U182" s="11"/>
      <c r="V182" s="11"/>
      <c r="W182" s="11"/>
      <c r="X182" s="11"/>
      <c r="Y182" s="11"/>
      <c r="Z182" s="11"/>
      <c r="AA182" s="11"/>
      <c r="AB182" s="11"/>
      <c r="AC182" s="11"/>
      <c r="AD182" s="11"/>
      <c r="AE182" s="11"/>
      <c r="AF182" s="11"/>
      <c r="AG182" s="12"/>
      <c r="AH182" s="11">
        <v>40</v>
      </c>
      <c r="AI182" s="11">
        <v>32</v>
      </c>
      <c r="AJ182" s="11"/>
      <c r="AK182" s="11"/>
      <c r="AL182" s="11"/>
      <c r="AM182" s="11"/>
      <c r="AN182" s="11"/>
      <c r="AO182" s="11"/>
      <c r="AP182" s="11"/>
      <c r="AQ182" s="11"/>
      <c r="AR182" s="11"/>
      <c r="AS182" s="11"/>
      <c r="AT182" s="11"/>
      <c r="AU182" s="11"/>
      <c r="AV182" s="12"/>
      <c r="AW182">
        <v>2</v>
      </c>
      <c r="AX182">
        <v>2</v>
      </c>
    </row>
    <row r="183" spans="12:53" ht="15.75" customHeight="1" x14ac:dyDescent="0.25">
      <c r="L183" t="s">
        <v>348</v>
      </c>
      <c r="M183">
        <v>25</v>
      </c>
      <c r="N183">
        <f>Table_2[[#This Row],[Pnom]]*1.6*1000</f>
        <v>40000</v>
      </c>
      <c r="O183">
        <v>800</v>
      </c>
      <c r="P183" s="3">
        <v>200</v>
      </c>
      <c r="Q183" s="4"/>
      <c r="R183" s="4"/>
      <c r="S183" s="13">
        <v>48</v>
      </c>
      <c r="T183" s="11">
        <v>48</v>
      </c>
      <c r="U183" s="11">
        <v>48</v>
      </c>
      <c r="V183" s="11"/>
      <c r="W183" s="11"/>
      <c r="X183" s="11"/>
      <c r="Y183" s="11"/>
      <c r="Z183" s="11"/>
      <c r="AA183" s="11"/>
      <c r="AB183" s="11"/>
      <c r="AC183" s="11"/>
      <c r="AD183" s="11"/>
      <c r="AE183" s="11"/>
      <c r="AF183" s="11"/>
      <c r="AG183" s="11"/>
      <c r="AH183" s="11">
        <v>32</v>
      </c>
      <c r="AI183" s="11">
        <v>32</v>
      </c>
      <c r="AJ183" s="11">
        <v>32</v>
      </c>
      <c r="AK183" s="11"/>
      <c r="AL183" s="11"/>
      <c r="AM183" s="11"/>
      <c r="AN183" s="11"/>
      <c r="AO183" s="11"/>
      <c r="AP183" s="11"/>
      <c r="AQ183" s="11"/>
      <c r="AR183" s="11"/>
      <c r="AS183" s="11"/>
      <c r="AT183" s="11"/>
      <c r="AU183" s="11"/>
      <c r="AV183" s="11"/>
      <c r="AW183">
        <v>2</v>
      </c>
      <c r="AX183">
        <v>2</v>
      </c>
      <c r="AY183">
        <v>2</v>
      </c>
    </row>
    <row r="184" spans="12:53" ht="15.75" customHeight="1" x14ac:dyDescent="0.25">
      <c r="L184" t="s">
        <v>349</v>
      </c>
      <c r="M184">
        <v>30</v>
      </c>
      <c r="N184">
        <f>Table_2[[#This Row],[Pnom]]*1.6*1000</f>
        <v>48000</v>
      </c>
      <c r="O184">
        <v>950</v>
      </c>
      <c r="P184" s="3">
        <v>200</v>
      </c>
      <c r="Q184" s="15">
        <v>143407</v>
      </c>
      <c r="R184" s="15" t="s">
        <v>63</v>
      </c>
      <c r="S184" s="13">
        <v>48</v>
      </c>
      <c r="T184" s="11">
        <v>48</v>
      </c>
      <c r="U184" s="11">
        <v>48</v>
      </c>
      <c r="V184" s="11"/>
      <c r="W184" s="11"/>
      <c r="X184" s="11"/>
      <c r="Y184" s="11"/>
      <c r="Z184" s="11"/>
      <c r="AA184" s="11"/>
      <c r="AB184" s="11"/>
      <c r="AC184" s="11"/>
      <c r="AD184" s="11"/>
      <c r="AE184" s="11"/>
      <c r="AF184" s="11"/>
      <c r="AG184" s="11"/>
      <c r="AH184" s="11">
        <v>32</v>
      </c>
      <c r="AI184" s="11">
        <v>32</v>
      </c>
      <c r="AJ184" s="11">
        <v>32</v>
      </c>
      <c r="AK184" s="11"/>
      <c r="AL184" s="11"/>
      <c r="AM184" s="11"/>
      <c r="AN184" s="11"/>
      <c r="AO184" s="11"/>
      <c r="AP184" s="11"/>
      <c r="AQ184" s="11"/>
      <c r="AR184" s="11"/>
      <c r="AS184" s="11"/>
      <c r="AT184" s="11"/>
      <c r="AU184" s="11"/>
      <c r="AV184" s="11"/>
      <c r="AW184">
        <v>2</v>
      </c>
      <c r="AX184">
        <v>2</v>
      </c>
      <c r="AY184">
        <v>2</v>
      </c>
    </row>
    <row r="185" spans="12:53" ht="15.75" customHeight="1" x14ac:dyDescent="0.25">
      <c r="L185" t="s">
        <v>350</v>
      </c>
      <c r="M185">
        <v>30</v>
      </c>
      <c r="N185">
        <f>Table_2[[#This Row],[Pnom]]*1.6*1000</f>
        <v>48000</v>
      </c>
      <c r="O185">
        <v>800</v>
      </c>
      <c r="P185" s="3">
        <v>250</v>
      </c>
      <c r="Q185" s="4"/>
      <c r="R185" s="4"/>
      <c r="S185" s="13">
        <v>60</v>
      </c>
      <c r="T185" s="11">
        <v>48</v>
      </c>
      <c r="U185" s="11">
        <v>48</v>
      </c>
      <c r="V185" s="11">
        <v>60</v>
      </c>
      <c r="W185" s="11"/>
      <c r="X185" s="11"/>
      <c r="Y185" s="11"/>
      <c r="Z185" s="11"/>
      <c r="AA185" s="11"/>
      <c r="AB185" s="11"/>
      <c r="AC185" s="11"/>
      <c r="AD185" s="11"/>
      <c r="AE185" s="11"/>
      <c r="AF185" s="11"/>
      <c r="AG185" s="11"/>
      <c r="AH185" s="11">
        <v>40</v>
      </c>
      <c r="AI185" s="11">
        <v>32</v>
      </c>
      <c r="AJ185" s="11">
        <v>32</v>
      </c>
      <c r="AK185" s="11">
        <v>40</v>
      </c>
      <c r="AL185" s="11"/>
      <c r="AM185" s="11"/>
      <c r="AN185" s="11"/>
      <c r="AO185" s="11"/>
      <c r="AP185" s="11"/>
      <c r="AQ185" s="11"/>
      <c r="AR185" s="11"/>
      <c r="AS185" s="11"/>
      <c r="AT185" s="11"/>
      <c r="AU185" s="11"/>
      <c r="AV185" s="11"/>
      <c r="AW185">
        <v>2</v>
      </c>
      <c r="AX185">
        <v>2</v>
      </c>
      <c r="AY185">
        <v>2</v>
      </c>
      <c r="AZ185">
        <v>2</v>
      </c>
    </row>
    <row r="186" spans="12:53" ht="15.75" customHeight="1" x14ac:dyDescent="0.25">
      <c r="L186" t="s">
        <v>351</v>
      </c>
      <c r="M186">
        <v>33</v>
      </c>
      <c r="N186">
        <f>1000*1.6*Table_2[[#This Row],[Pnom]]</f>
        <v>52800</v>
      </c>
      <c r="O186">
        <v>950</v>
      </c>
      <c r="P186" s="3">
        <v>200</v>
      </c>
      <c r="Q186" s="15">
        <v>152046</v>
      </c>
      <c r="R186" s="15" t="s">
        <v>63</v>
      </c>
      <c r="S186" s="5">
        <v>48</v>
      </c>
      <c r="T186">
        <v>48</v>
      </c>
      <c r="U186">
        <v>60</v>
      </c>
      <c r="AH186" s="3">
        <v>32</v>
      </c>
      <c r="AI186">
        <v>32</v>
      </c>
      <c r="AJ186">
        <v>40</v>
      </c>
      <c r="AV186" s="3"/>
      <c r="AW186">
        <v>2</v>
      </c>
      <c r="AX186">
        <v>2</v>
      </c>
      <c r="AY186">
        <v>2</v>
      </c>
    </row>
    <row r="187" spans="12:53" ht="15.75" customHeight="1" x14ac:dyDescent="0.25">
      <c r="L187" t="s">
        <v>352</v>
      </c>
      <c r="M187">
        <v>36</v>
      </c>
      <c r="N187">
        <f>Table_2[[#This Row],[Pnom]]*1000*1.6</f>
        <v>57600</v>
      </c>
      <c r="O187">
        <v>950</v>
      </c>
      <c r="P187" s="3">
        <v>200</v>
      </c>
      <c r="Q187" s="4"/>
      <c r="R187" s="4"/>
      <c r="S187" s="5">
        <v>48</v>
      </c>
      <c r="T187">
        <v>48</v>
      </c>
      <c r="U187">
        <v>60</v>
      </c>
      <c r="AH187" s="11">
        <v>32</v>
      </c>
      <c r="AI187" s="11">
        <v>32</v>
      </c>
      <c r="AJ187" s="11">
        <v>40</v>
      </c>
      <c r="AK187" s="11"/>
      <c r="AL187" s="11"/>
      <c r="AM187" s="11"/>
      <c r="AN187" s="11"/>
      <c r="AO187" s="11"/>
      <c r="AP187" s="11"/>
      <c r="AQ187" s="11"/>
      <c r="AR187" s="11"/>
      <c r="AS187" s="11"/>
      <c r="AT187" s="11"/>
      <c r="AU187" s="11"/>
      <c r="AV187" s="11"/>
      <c r="AW187">
        <v>2</v>
      </c>
      <c r="AX187">
        <v>2</v>
      </c>
      <c r="AY187">
        <v>2</v>
      </c>
    </row>
    <row r="188" spans="12:53" ht="15.75" customHeight="1" x14ac:dyDescent="0.25">
      <c r="L188" t="s">
        <v>353</v>
      </c>
      <c r="M188">
        <v>36</v>
      </c>
      <c r="N188">
        <f>Table_2[[#This Row],[Pnom]]*1.6*1000</f>
        <v>57600</v>
      </c>
      <c r="O188">
        <v>800</v>
      </c>
      <c r="P188" s="3">
        <v>250</v>
      </c>
      <c r="Q188" s="15">
        <v>152074</v>
      </c>
      <c r="R188" s="15" t="s">
        <v>63</v>
      </c>
      <c r="S188" s="13">
        <v>60</v>
      </c>
      <c r="T188" s="11">
        <v>48</v>
      </c>
      <c r="U188" s="11">
        <v>48</v>
      </c>
      <c r="V188" s="11">
        <v>60</v>
      </c>
      <c r="W188" s="11"/>
      <c r="X188" s="11"/>
      <c r="Y188" s="11"/>
      <c r="Z188" s="11"/>
      <c r="AA188" s="11"/>
      <c r="AB188" s="11"/>
      <c r="AC188" s="11"/>
      <c r="AD188" s="11"/>
      <c r="AE188" s="11"/>
      <c r="AF188" s="11"/>
      <c r="AG188" s="11"/>
      <c r="AH188" s="11">
        <v>40</v>
      </c>
      <c r="AI188" s="11">
        <v>32</v>
      </c>
      <c r="AJ188" s="11">
        <v>32</v>
      </c>
      <c r="AK188" s="11">
        <v>40</v>
      </c>
      <c r="AL188" s="11"/>
      <c r="AM188" s="11"/>
      <c r="AN188" s="11"/>
      <c r="AO188" s="11"/>
      <c r="AP188" s="11"/>
      <c r="AQ188" s="11"/>
      <c r="AR188" s="11"/>
      <c r="AS188" s="11"/>
      <c r="AT188" s="11"/>
      <c r="AU188" s="11"/>
      <c r="AV188" s="11"/>
      <c r="AW188">
        <v>2</v>
      </c>
      <c r="AX188">
        <v>2</v>
      </c>
      <c r="AY188">
        <v>2</v>
      </c>
      <c r="AZ188">
        <v>2</v>
      </c>
    </row>
    <row r="189" spans="12:53" ht="15.75" customHeight="1" x14ac:dyDescent="0.25">
      <c r="L189" t="s">
        <v>354</v>
      </c>
      <c r="M189">
        <v>37.5</v>
      </c>
      <c r="N189">
        <f>Table_2[[#This Row],[Pnom]]*1.6*1000</f>
        <v>60000</v>
      </c>
      <c r="O189">
        <v>800</v>
      </c>
      <c r="P189" s="3">
        <v>250</v>
      </c>
      <c r="Q189" s="4">
        <v>160674</v>
      </c>
      <c r="R189" s="4" t="s">
        <v>63</v>
      </c>
      <c r="S189" s="13">
        <v>60</v>
      </c>
      <c r="T189" s="11">
        <v>48</v>
      </c>
      <c r="U189" s="11">
        <v>48</v>
      </c>
      <c r="V189" s="11">
        <v>60</v>
      </c>
      <c r="W189" s="11"/>
      <c r="X189" s="11"/>
      <c r="Y189" s="11"/>
      <c r="Z189" s="11"/>
      <c r="AA189" s="11"/>
      <c r="AB189" s="11"/>
      <c r="AC189" s="11"/>
      <c r="AD189" s="11"/>
      <c r="AE189" s="11"/>
      <c r="AF189" s="11"/>
      <c r="AG189" s="11"/>
      <c r="AH189" s="11">
        <v>40</v>
      </c>
      <c r="AI189" s="11">
        <v>32</v>
      </c>
      <c r="AJ189" s="11">
        <v>32</v>
      </c>
      <c r="AK189" s="11">
        <v>40</v>
      </c>
      <c r="AL189" s="11"/>
      <c r="AM189" s="11"/>
      <c r="AN189" s="11"/>
      <c r="AO189" s="11"/>
      <c r="AP189" s="11"/>
      <c r="AQ189" s="11"/>
      <c r="AR189" s="11"/>
      <c r="AS189" s="11"/>
      <c r="AT189" s="11"/>
      <c r="AU189" s="11"/>
      <c r="AV189" s="11"/>
      <c r="AW189">
        <v>2</v>
      </c>
      <c r="AX189">
        <v>2</v>
      </c>
      <c r="AY189">
        <v>2</v>
      </c>
      <c r="AZ189">
        <v>2</v>
      </c>
    </row>
    <row r="190" spans="12:53" ht="15.75" customHeight="1" x14ac:dyDescent="0.25">
      <c r="L190" t="s">
        <v>355</v>
      </c>
      <c r="M190">
        <v>4</v>
      </c>
      <c r="N190">
        <f>Table_2[[#This Row],[Pnom]]*1.6*1000</f>
        <v>6400</v>
      </c>
      <c r="O190">
        <v>580</v>
      </c>
      <c r="P190" s="3">
        <v>100</v>
      </c>
      <c r="Q190" s="15"/>
      <c r="R190" s="15"/>
      <c r="S190" s="13">
        <v>18</v>
      </c>
      <c r="T190" s="11">
        <v>18</v>
      </c>
      <c r="U190" s="11"/>
      <c r="V190" s="11"/>
      <c r="W190" s="11"/>
      <c r="X190" s="11"/>
      <c r="Y190" s="11"/>
      <c r="Z190" s="11"/>
      <c r="AA190" s="11"/>
      <c r="AB190" s="11"/>
      <c r="AC190" s="11"/>
      <c r="AD190" s="11"/>
      <c r="AE190" s="11"/>
      <c r="AF190" s="11"/>
      <c r="AG190" s="11"/>
      <c r="AH190" s="11">
        <v>12</v>
      </c>
      <c r="AI190" s="11">
        <v>12</v>
      </c>
      <c r="AJ190" s="11"/>
      <c r="AK190" s="11"/>
      <c r="AL190" s="11"/>
      <c r="AM190" s="11"/>
      <c r="AN190" s="11"/>
      <c r="AO190" s="11"/>
      <c r="AP190" s="11"/>
      <c r="AQ190" s="11"/>
      <c r="AR190" s="11"/>
      <c r="AS190" s="11"/>
      <c r="AT190" s="11"/>
      <c r="AU190" s="11"/>
      <c r="AV190" s="11"/>
      <c r="AW190">
        <v>1</v>
      </c>
      <c r="AX190">
        <v>1</v>
      </c>
    </row>
    <row r="191" spans="12:53" ht="15.75" customHeight="1" x14ac:dyDescent="0.25">
      <c r="L191" t="s">
        <v>356</v>
      </c>
      <c r="M191">
        <v>40</v>
      </c>
      <c r="N191" t="e">
        <f>IF(OR(#REF!="- DAH MONO 555W",#REF!="- LEAPTON - MONO -  560W",#REF!="- Renesola 560W - RS560-560M-E3",#REF!="- DMEGC 560 - DM560M10-72HSW/HBW"),60000,64000)</f>
        <v>#REF!</v>
      </c>
      <c r="O191" t="e">
        <f>IF(OR(#REF!="- DAH MONO 555W",#REF!="- LEAPTON - MONO -  560W",#REF!="- Renesola 560W - RS560-560M-E3",#REF!="- DMEGC 560 - DM560M10-72HSW/HBW"),1100,950)</f>
        <v>#REF!</v>
      </c>
      <c r="P191" s="3">
        <v>200</v>
      </c>
      <c r="Q191" s="4"/>
      <c r="R191" s="4"/>
      <c r="S191" s="13">
        <v>48</v>
      </c>
      <c r="T191" s="11">
        <v>48</v>
      </c>
      <c r="U191" s="11">
        <v>60</v>
      </c>
      <c r="V191" s="11"/>
      <c r="W191" s="11"/>
      <c r="X191" s="11"/>
      <c r="Y191" s="11"/>
      <c r="Z191" s="11"/>
      <c r="AA191" s="11"/>
      <c r="AB191" s="11"/>
      <c r="AC191" s="11"/>
      <c r="AD191" s="11"/>
      <c r="AE191" s="11"/>
      <c r="AF191" s="11"/>
      <c r="AG191" s="11"/>
      <c r="AH191" s="11">
        <v>32</v>
      </c>
      <c r="AI191" s="11">
        <v>32</v>
      </c>
      <c r="AJ191" s="11">
        <v>40</v>
      </c>
      <c r="AK191" s="11"/>
      <c r="AL191" s="11"/>
      <c r="AM191" s="11"/>
      <c r="AN191" s="11"/>
      <c r="AO191" s="11"/>
      <c r="AP191" s="11"/>
      <c r="AQ191" s="11"/>
      <c r="AR191" s="11"/>
      <c r="AS191" s="11"/>
      <c r="AT191" s="11"/>
      <c r="AU191" s="11"/>
      <c r="AV191" s="11"/>
      <c r="AW191">
        <v>2</v>
      </c>
      <c r="AX191">
        <v>2</v>
      </c>
      <c r="AY191">
        <v>2</v>
      </c>
    </row>
    <row r="192" spans="12:53" ht="15.75" customHeight="1" x14ac:dyDescent="0.25">
      <c r="L192" t="s">
        <v>357</v>
      </c>
      <c r="M192">
        <v>5</v>
      </c>
      <c r="N192">
        <f>Table_2[[#This Row],[Pnom]]*1.6*1000</f>
        <v>8000</v>
      </c>
      <c r="O192">
        <v>600</v>
      </c>
      <c r="P192" s="3">
        <v>100</v>
      </c>
      <c r="Q192" s="15"/>
      <c r="R192" s="15"/>
      <c r="S192" s="13">
        <v>18</v>
      </c>
      <c r="T192" s="11">
        <v>18</v>
      </c>
      <c r="U192" s="11"/>
      <c r="V192" s="11"/>
      <c r="W192" s="11"/>
      <c r="X192" s="11"/>
      <c r="Y192" s="11"/>
      <c r="Z192" s="11"/>
      <c r="AA192" s="11"/>
      <c r="AB192" s="11"/>
      <c r="AC192" s="11"/>
      <c r="AD192" s="11"/>
      <c r="AE192" s="11"/>
      <c r="AF192" s="11"/>
      <c r="AG192" s="11"/>
      <c r="AH192" s="11">
        <v>12</v>
      </c>
      <c r="AI192" s="11">
        <v>12</v>
      </c>
      <c r="AJ192" s="11"/>
      <c r="AK192" s="11"/>
      <c r="AL192" s="11"/>
      <c r="AM192" s="11"/>
      <c r="AN192" s="11"/>
      <c r="AO192" s="11"/>
      <c r="AP192" s="11"/>
      <c r="AQ192" s="11"/>
      <c r="AR192" s="11"/>
      <c r="AS192" s="11"/>
      <c r="AT192" s="11"/>
      <c r="AU192" s="11"/>
      <c r="AV192" s="11"/>
      <c r="AW192">
        <v>1</v>
      </c>
      <c r="AX192">
        <v>1</v>
      </c>
    </row>
    <row r="193" spans="12:58" ht="15.75" customHeight="1" x14ac:dyDescent="0.25">
      <c r="L193" t="s">
        <v>358</v>
      </c>
      <c r="M193">
        <v>50</v>
      </c>
      <c r="N193">
        <f>Table_2[[#This Row],[Pnom]]*1.6*1000</f>
        <v>80000</v>
      </c>
      <c r="O193">
        <v>950</v>
      </c>
      <c r="P193" s="3">
        <v>250</v>
      </c>
      <c r="Q193" s="4">
        <v>143409</v>
      </c>
      <c r="R193" s="4" t="s">
        <v>63</v>
      </c>
      <c r="S193" s="13">
        <v>48</v>
      </c>
      <c r="T193" s="11">
        <v>48</v>
      </c>
      <c r="U193" s="11">
        <v>48</v>
      </c>
      <c r="V193" s="11">
        <v>48</v>
      </c>
      <c r="W193" s="11">
        <v>48</v>
      </c>
      <c r="X193" s="11"/>
      <c r="Y193" s="11"/>
      <c r="Z193" s="11"/>
      <c r="AA193" s="11"/>
      <c r="AB193" s="11"/>
      <c r="AC193" s="11"/>
      <c r="AD193" s="11"/>
      <c r="AE193" s="11"/>
      <c r="AF193" s="11"/>
      <c r="AG193" s="11"/>
      <c r="AH193" s="11">
        <v>32</v>
      </c>
      <c r="AI193" s="11">
        <v>32</v>
      </c>
      <c r="AJ193" s="11">
        <v>32</v>
      </c>
      <c r="AK193" s="11">
        <v>32</v>
      </c>
      <c r="AL193" s="11">
        <v>32</v>
      </c>
      <c r="AM193" s="11"/>
      <c r="AN193" s="11"/>
      <c r="AO193" s="11"/>
      <c r="AP193" s="11"/>
      <c r="AQ193" s="11"/>
      <c r="AR193" s="11"/>
      <c r="AS193" s="11"/>
      <c r="AT193" s="11"/>
      <c r="AU193" s="11"/>
      <c r="AV193" s="11"/>
      <c r="AW193">
        <v>2</v>
      </c>
      <c r="AX193">
        <v>2</v>
      </c>
      <c r="AY193">
        <v>2</v>
      </c>
      <c r="AZ193">
        <v>2</v>
      </c>
      <c r="BA193">
        <v>2</v>
      </c>
    </row>
    <row r="194" spans="12:58" ht="15.75" customHeight="1" x14ac:dyDescent="0.25">
      <c r="L194" t="s">
        <v>359</v>
      </c>
      <c r="M194">
        <v>7.3</v>
      </c>
      <c r="N194">
        <v>13200</v>
      </c>
      <c r="O194">
        <v>600</v>
      </c>
      <c r="P194" s="3">
        <v>100</v>
      </c>
      <c r="Q194" s="15"/>
      <c r="R194" s="15"/>
      <c r="S194" s="13">
        <v>22.5</v>
      </c>
      <c r="T194" s="11">
        <v>22.5</v>
      </c>
      <c r="U194" s="11">
        <v>22.5</v>
      </c>
      <c r="V194" s="11"/>
      <c r="W194" s="11"/>
      <c r="X194" s="11"/>
      <c r="Y194" s="11"/>
      <c r="Z194" s="11"/>
      <c r="AA194" s="11"/>
      <c r="AB194" s="11"/>
      <c r="AC194" s="11"/>
      <c r="AD194" s="11"/>
      <c r="AE194" s="11"/>
      <c r="AF194" s="11"/>
      <c r="AG194" s="11"/>
      <c r="AH194" s="11">
        <v>16</v>
      </c>
      <c r="AI194" s="11">
        <v>16</v>
      </c>
      <c r="AJ194" s="11">
        <v>16</v>
      </c>
      <c r="AK194" s="11"/>
      <c r="AL194" s="11"/>
      <c r="AM194" s="11"/>
      <c r="AN194" s="11"/>
      <c r="AO194" s="11"/>
      <c r="AP194" s="11"/>
      <c r="AQ194" s="11"/>
      <c r="AR194" s="11"/>
      <c r="AS194" s="11"/>
      <c r="AT194" s="11"/>
      <c r="AU194" s="11"/>
      <c r="AV194" s="11"/>
      <c r="AW194">
        <v>1</v>
      </c>
      <c r="AX194">
        <v>1</v>
      </c>
      <c r="AY194">
        <v>1</v>
      </c>
    </row>
    <row r="195" spans="12:58" ht="15.75" customHeight="1" x14ac:dyDescent="0.25">
      <c r="L195" t="s">
        <v>360</v>
      </c>
      <c r="M195">
        <v>7.5</v>
      </c>
      <c r="N195">
        <v>12000</v>
      </c>
      <c r="O195">
        <v>600</v>
      </c>
      <c r="P195" s="3">
        <v>100</v>
      </c>
      <c r="Q195" s="4">
        <v>153992</v>
      </c>
      <c r="R195" s="4" t="s">
        <v>63</v>
      </c>
      <c r="S195" s="5">
        <v>22.5</v>
      </c>
      <c r="T195">
        <v>22.5</v>
      </c>
      <c r="U195">
        <v>22.5</v>
      </c>
      <c r="AH195" s="11">
        <v>16</v>
      </c>
      <c r="AI195" s="11">
        <v>16</v>
      </c>
      <c r="AJ195" s="11">
        <v>16</v>
      </c>
      <c r="AK195" s="11"/>
      <c r="AL195" s="11"/>
      <c r="AM195" s="11"/>
      <c r="AN195" s="11"/>
      <c r="AO195" s="11"/>
      <c r="AP195" s="11"/>
      <c r="AQ195" s="11"/>
      <c r="AR195" s="11"/>
      <c r="AS195" s="11"/>
      <c r="AT195" s="11"/>
      <c r="AU195" s="11"/>
      <c r="AV195" s="11"/>
      <c r="AW195">
        <v>1</v>
      </c>
      <c r="AX195">
        <v>1</v>
      </c>
      <c r="AY195">
        <v>1</v>
      </c>
    </row>
    <row r="196" spans="12:58" ht="15.75" customHeight="1" x14ac:dyDescent="0.25">
      <c r="L196" t="s">
        <v>361</v>
      </c>
      <c r="M196">
        <v>8</v>
      </c>
      <c r="N196">
        <f>Table_2[[#This Row],[Pnom]]*1.6*1000</f>
        <v>12800</v>
      </c>
      <c r="O196">
        <v>600</v>
      </c>
      <c r="P196" s="3">
        <v>100</v>
      </c>
      <c r="Q196" s="15"/>
      <c r="R196" s="15"/>
      <c r="S196" s="13">
        <v>22.5</v>
      </c>
      <c r="T196" s="11">
        <v>22.5</v>
      </c>
      <c r="U196" s="11">
        <v>22.5</v>
      </c>
      <c r="V196" s="11"/>
      <c r="W196" s="11"/>
      <c r="X196" s="11"/>
      <c r="Y196" s="11"/>
      <c r="Z196" s="11"/>
      <c r="AA196" s="11"/>
      <c r="AB196" s="11"/>
      <c r="AC196" s="11"/>
      <c r="AD196" s="11"/>
      <c r="AE196" s="11"/>
      <c r="AF196" s="11"/>
      <c r="AG196" s="11"/>
      <c r="AH196" s="11">
        <v>16</v>
      </c>
      <c r="AI196" s="11">
        <v>16</v>
      </c>
      <c r="AJ196" s="11">
        <v>16</v>
      </c>
      <c r="AK196" s="11"/>
      <c r="AL196" s="11"/>
      <c r="AM196" s="11"/>
      <c r="AN196" s="11"/>
      <c r="AO196" s="11"/>
      <c r="AP196" s="11"/>
      <c r="AQ196" s="11"/>
      <c r="AR196" s="11"/>
      <c r="AS196" s="11"/>
      <c r="AT196" s="11"/>
      <c r="AU196" s="11"/>
      <c r="AV196" s="11"/>
      <c r="AW196">
        <v>1</v>
      </c>
      <c r="AX196">
        <v>1</v>
      </c>
      <c r="AY196">
        <v>1</v>
      </c>
    </row>
    <row r="197" spans="12:58" ht="15.75" customHeight="1" x14ac:dyDescent="0.25">
      <c r="L197" t="s">
        <v>362</v>
      </c>
      <c r="M197">
        <v>9.1</v>
      </c>
      <c r="N197">
        <v>16500</v>
      </c>
      <c r="O197">
        <v>600</v>
      </c>
      <c r="P197" s="3">
        <v>100</v>
      </c>
      <c r="Q197" s="4">
        <v>152131</v>
      </c>
      <c r="R197" s="4" t="s">
        <v>63</v>
      </c>
      <c r="S197" s="13">
        <v>28</v>
      </c>
      <c r="T197" s="11">
        <v>22.5</v>
      </c>
      <c r="U197" s="11">
        <v>28</v>
      </c>
      <c r="V197" s="11"/>
      <c r="W197" s="11"/>
      <c r="X197" s="11"/>
      <c r="Y197" s="11"/>
      <c r="Z197" s="11"/>
      <c r="AA197" s="11"/>
      <c r="AB197" s="11"/>
      <c r="AC197" s="11"/>
      <c r="AD197" s="11"/>
      <c r="AE197" s="11"/>
      <c r="AF197" s="11"/>
      <c r="AG197" s="11"/>
      <c r="AH197" s="11">
        <v>20</v>
      </c>
      <c r="AI197" s="11">
        <v>16</v>
      </c>
      <c r="AJ197" s="11">
        <v>20</v>
      </c>
      <c r="AK197" s="11"/>
      <c r="AL197" s="11"/>
      <c r="AM197" s="11"/>
      <c r="AN197" s="11"/>
      <c r="AO197" s="11"/>
      <c r="AP197" s="11"/>
      <c r="AQ197" s="11"/>
      <c r="AR197" s="11"/>
      <c r="AS197" s="11"/>
      <c r="AT197" s="11"/>
      <c r="AU197" s="11"/>
      <c r="AV197" s="11"/>
      <c r="AW197">
        <v>1</v>
      </c>
      <c r="AX197">
        <v>1</v>
      </c>
      <c r="AY197">
        <v>1</v>
      </c>
    </row>
    <row r="198" spans="12:58" ht="15.75" customHeight="1" x14ac:dyDescent="0.25">
      <c r="L198" t="s">
        <v>363</v>
      </c>
      <c r="M198">
        <v>110</v>
      </c>
      <c r="N198">
        <f>Table_2[[#This Row],[Pnom]]*1.6*1000</f>
        <v>176000</v>
      </c>
      <c r="O198">
        <v>950</v>
      </c>
      <c r="P198" s="3">
        <v>250</v>
      </c>
      <c r="Q198" s="15">
        <v>170120</v>
      </c>
      <c r="R198" s="15" t="s">
        <v>63</v>
      </c>
      <c r="S198" s="13">
        <v>48</v>
      </c>
      <c r="T198" s="11">
        <v>48</v>
      </c>
      <c r="U198" s="11">
        <v>48</v>
      </c>
      <c r="V198" s="11">
        <v>48</v>
      </c>
      <c r="W198" s="11">
        <v>48</v>
      </c>
      <c r="X198" s="11">
        <v>48</v>
      </c>
      <c r="Y198" s="11">
        <v>48</v>
      </c>
      <c r="Z198" s="11">
        <v>48</v>
      </c>
      <c r="AA198" s="11">
        <v>48</v>
      </c>
      <c r="AB198" s="11">
        <v>48</v>
      </c>
      <c r="AC198" s="11"/>
      <c r="AD198" s="11"/>
      <c r="AE198" s="11"/>
      <c r="AF198" s="11"/>
      <c r="AG198" s="11"/>
      <c r="AH198" s="11">
        <v>32</v>
      </c>
      <c r="AI198" s="11">
        <v>32</v>
      </c>
      <c r="AJ198" s="11">
        <v>32</v>
      </c>
      <c r="AK198" s="11">
        <v>32</v>
      </c>
      <c r="AL198" s="11">
        <v>32</v>
      </c>
      <c r="AM198" s="11">
        <v>32</v>
      </c>
      <c r="AN198" s="11">
        <v>32</v>
      </c>
      <c r="AO198" s="11">
        <v>32</v>
      </c>
      <c r="AP198" s="11">
        <v>32</v>
      </c>
      <c r="AQ198" s="11">
        <v>32</v>
      </c>
      <c r="AR198" s="11"/>
      <c r="AS198" s="11"/>
      <c r="AT198" s="11"/>
      <c r="AU198" s="11"/>
      <c r="AV198" s="11"/>
      <c r="AW198">
        <v>2</v>
      </c>
      <c r="AX198">
        <v>2</v>
      </c>
      <c r="AY198">
        <v>2</v>
      </c>
      <c r="AZ198">
        <v>2</v>
      </c>
      <c r="BA198">
        <v>2</v>
      </c>
      <c r="BB198">
        <v>2</v>
      </c>
      <c r="BC198">
        <v>2</v>
      </c>
      <c r="BD198">
        <v>2</v>
      </c>
      <c r="BE198">
        <v>2</v>
      </c>
      <c r="BF198">
        <v>2</v>
      </c>
    </row>
    <row r="199" spans="12:58" ht="15.75" customHeight="1" x14ac:dyDescent="0.25">
      <c r="L199" t="s">
        <v>364</v>
      </c>
      <c r="M199">
        <v>12</v>
      </c>
      <c r="N199">
        <v>18000</v>
      </c>
      <c r="O199">
        <v>1100</v>
      </c>
      <c r="P199" s="3">
        <v>180</v>
      </c>
      <c r="Q199" s="4"/>
      <c r="R199" s="4"/>
      <c r="S199" s="5">
        <v>30</v>
      </c>
      <c r="T199">
        <v>30</v>
      </c>
      <c r="AH199" s="11">
        <v>20</v>
      </c>
      <c r="AI199" s="11">
        <v>20</v>
      </c>
      <c r="AJ199" s="11"/>
      <c r="AK199" s="11"/>
      <c r="AL199" s="11"/>
      <c r="AM199" s="11"/>
      <c r="AN199" s="11"/>
      <c r="AO199" s="11"/>
      <c r="AP199" s="11"/>
      <c r="AQ199" s="11"/>
      <c r="AR199" s="11"/>
      <c r="AS199" s="11"/>
      <c r="AT199" s="11"/>
      <c r="AU199" s="11"/>
      <c r="AV199" s="11"/>
      <c r="AW199">
        <v>1</v>
      </c>
      <c r="AX199">
        <v>1</v>
      </c>
    </row>
    <row r="200" spans="12:58" ht="15.75" customHeight="1" x14ac:dyDescent="0.25">
      <c r="L200" t="s">
        <v>365</v>
      </c>
      <c r="M200">
        <v>3</v>
      </c>
      <c r="N200">
        <f>Table_2[[#This Row],[Pnom]]*1.6*1000</f>
        <v>4800.0000000000009</v>
      </c>
      <c r="O200">
        <v>580</v>
      </c>
      <c r="P200" s="3">
        <v>100</v>
      </c>
      <c r="Q200" s="15">
        <v>152036</v>
      </c>
      <c r="R200" s="15" t="s">
        <v>63</v>
      </c>
      <c r="S200" s="5">
        <v>24</v>
      </c>
      <c r="T200">
        <v>24</v>
      </c>
      <c r="AH200" s="3">
        <v>16</v>
      </c>
      <c r="AI200">
        <v>16</v>
      </c>
      <c r="AV200" s="3"/>
      <c r="AW200">
        <v>1</v>
      </c>
      <c r="AX200">
        <v>1</v>
      </c>
    </row>
    <row r="201" spans="12:58" ht="15.75" customHeight="1" x14ac:dyDescent="0.25">
      <c r="L201" t="s">
        <v>366</v>
      </c>
      <c r="M201">
        <v>37.5</v>
      </c>
      <c r="N201">
        <f>Table_2[[#This Row],[Pnom]]*1000*1.6</f>
        <v>60000</v>
      </c>
      <c r="O201">
        <v>800</v>
      </c>
      <c r="P201" s="3">
        <v>200</v>
      </c>
      <c r="Q201" s="4"/>
      <c r="R201" s="4"/>
      <c r="S201" s="5">
        <v>60</v>
      </c>
      <c r="T201">
        <v>48</v>
      </c>
      <c r="U201">
        <v>48</v>
      </c>
      <c r="V201">
        <v>60</v>
      </c>
      <c r="AH201" s="11">
        <v>40</v>
      </c>
      <c r="AI201" s="11">
        <v>32</v>
      </c>
      <c r="AJ201" s="11">
        <v>32</v>
      </c>
      <c r="AK201" s="11">
        <v>40</v>
      </c>
      <c r="AL201" s="11"/>
      <c r="AM201" s="11"/>
      <c r="AN201" s="11"/>
      <c r="AO201" s="11"/>
      <c r="AP201" s="11"/>
      <c r="AQ201" s="11"/>
      <c r="AR201" s="11"/>
      <c r="AS201" s="11"/>
      <c r="AT201" s="11"/>
      <c r="AU201" s="11"/>
      <c r="AV201" s="11"/>
      <c r="AW201">
        <v>2</v>
      </c>
      <c r="AX201">
        <v>2</v>
      </c>
      <c r="AY201">
        <v>2</v>
      </c>
      <c r="AZ201">
        <v>2</v>
      </c>
    </row>
    <row r="202" spans="12:58" ht="15.75" customHeight="1" x14ac:dyDescent="0.25">
      <c r="L202" t="s">
        <v>367</v>
      </c>
      <c r="M202">
        <v>4</v>
      </c>
      <c r="N202">
        <f>Table_2[[#This Row],[Pnom]]*1.6*1000</f>
        <v>6400</v>
      </c>
      <c r="O202">
        <v>600</v>
      </c>
      <c r="P202" s="3">
        <v>100</v>
      </c>
      <c r="Q202" s="15">
        <v>152038</v>
      </c>
      <c r="R202" s="15" t="s">
        <v>63</v>
      </c>
      <c r="S202" s="5">
        <v>24</v>
      </c>
      <c r="T202">
        <v>24</v>
      </c>
      <c r="U202" s="11"/>
      <c r="V202" s="11"/>
      <c r="W202" s="11"/>
      <c r="X202" s="11"/>
      <c r="Y202" s="11"/>
      <c r="Z202" s="11"/>
      <c r="AA202" s="11"/>
      <c r="AB202" s="11"/>
      <c r="AC202" s="11"/>
      <c r="AD202" s="11"/>
      <c r="AE202" s="11"/>
      <c r="AF202" s="11"/>
      <c r="AG202" s="11"/>
      <c r="AH202" s="11">
        <v>16</v>
      </c>
      <c r="AI202" s="11">
        <v>16</v>
      </c>
      <c r="AJ202" s="11"/>
      <c r="AK202" s="11"/>
      <c r="AL202" s="11"/>
      <c r="AM202" s="11"/>
      <c r="AN202" s="11"/>
      <c r="AO202" s="11"/>
      <c r="AP202" s="11"/>
      <c r="AQ202" s="11"/>
      <c r="AR202" s="11"/>
      <c r="AS202" s="11"/>
      <c r="AT202" s="11"/>
      <c r="AU202" s="11"/>
      <c r="AV202" s="11"/>
      <c r="AW202">
        <v>1</v>
      </c>
      <c r="AX202">
        <v>1</v>
      </c>
    </row>
    <row r="203" spans="12:58" ht="15.75" customHeight="1" x14ac:dyDescent="0.25">
      <c r="L203" t="s">
        <v>368</v>
      </c>
      <c r="M203">
        <v>5</v>
      </c>
      <c r="N203">
        <v>7500</v>
      </c>
      <c r="O203">
        <v>550</v>
      </c>
      <c r="P203" s="3">
        <v>50</v>
      </c>
      <c r="Q203" s="4"/>
      <c r="R203" s="4"/>
      <c r="S203" s="5">
        <v>20</v>
      </c>
      <c r="T203">
        <v>20</v>
      </c>
      <c r="AH203" s="11">
        <v>16</v>
      </c>
      <c r="AI203" s="11">
        <v>16</v>
      </c>
      <c r="AJ203" s="11"/>
      <c r="AK203" s="11"/>
      <c r="AL203" s="11"/>
      <c r="AM203" s="11"/>
      <c r="AN203" s="11"/>
      <c r="AO203" s="11"/>
      <c r="AP203" s="11"/>
      <c r="AQ203" s="11"/>
      <c r="AR203" s="11"/>
      <c r="AS203" s="11"/>
      <c r="AT203" s="11"/>
      <c r="AU203" s="11"/>
      <c r="AV203" s="11"/>
      <c r="AW203">
        <v>1</v>
      </c>
      <c r="AX203">
        <v>1</v>
      </c>
    </row>
    <row r="204" spans="12:58" ht="15.75" customHeight="1" x14ac:dyDescent="0.25">
      <c r="L204" t="s">
        <v>369</v>
      </c>
      <c r="M204">
        <v>5</v>
      </c>
      <c r="N204">
        <f>Table_2[[#This Row],[Pnom]]*1.6*1000</f>
        <v>8000</v>
      </c>
      <c r="O204">
        <v>600</v>
      </c>
      <c r="P204" s="3">
        <v>100</v>
      </c>
      <c r="Q204" s="15">
        <v>152039</v>
      </c>
      <c r="R204" s="15" t="s">
        <v>63</v>
      </c>
      <c r="S204" s="5">
        <v>24</v>
      </c>
      <c r="T204">
        <v>24</v>
      </c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  <c r="AH204" s="11">
        <v>16</v>
      </c>
      <c r="AI204" s="11">
        <v>16</v>
      </c>
      <c r="AJ204" s="11"/>
      <c r="AK204" s="11"/>
      <c r="AL204" s="11"/>
      <c r="AM204" s="11"/>
      <c r="AN204" s="11"/>
      <c r="AO204" s="11"/>
      <c r="AP204" s="11"/>
      <c r="AQ204" s="11"/>
      <c r="AR204" s="11"/>
      <c r="AS204" s="11"/>
      <c r="AT204" s="11"/>
      <c r="AU204" s="11"/>
      <c r="AV204" s="11"/>
      <c r="AW204">
        <v>1</v>
      </c>
      <c r="AX204">
        <v>1</v>
      </c>
    </row>
    <row r="205" spans="12:58" ht="15.75" customHeight="1" x14ac:dyDescent="0.25">
      <c r="L205" t="s">
        <v>370</v>
      </c>
      <c r="M205">
        <v>6</v>
      </c>
      <c r="N205">
        <v>9600</v>
      </c>
      <c r="O205">
        <v>550</v>
      </c>
      <c r="P205" s="3">
        <v>50</v>
      </c>
      <c r="Q205" s="4"/>
      <c r="R205" s="4"/>
      <c r="S205" s="5">
        <v>20</v>
      </c>
      <c r="T205">
        <v>20</v>
      </c>
      <c r="AH205" s="3">
        <v>16</v>
      </c>
      <c r="AI205">
        <v>16</v>
      </c>
      <c r="AV205" s="3"/>
      <c r="AW205">
        <v>1</v>
      </c>
      <c r="AX205">
        <v>1</v>
      </c>
    </row>
    <row r="206" spans="12:58" ht="15.75" customHeight="1" x14ac:dyDescent="0.25">
      <c r="L206" t="s">
        <v>371</v>
      </c>
      <c r="M206">
        <v>6</v>
      </c>
      <c r="N206">
        <f>Table_2[[#This Row],[Pnom]]*1.6*1000</f>
        <v>9600.0000000000018</v>
      </c>
      <c r="O206">
        <v>600</v>
      </c>
      <c r="P206" s="3">
        <v>100</v>
      </c>
      <c r="Q206" s="15">
        <v>143406</v>
      </c>
      <c r="R206" s="15" t="s">
        <v>63</v>
      </c>
      <c r="S206" s="5">
        <v>24</v>
      </c>
      <c r="T206">
        <v>24</v>
      </c>
      <c r="AH206" s="3">
        <v>16</v>
      </c>
      <c r="AI206">
        <v>16</v>
      </c>
      <c r="AV206" s="3"/>
      <c r="AW206">
        <v>1</v>
      </c>
      <c r="AX206">
        <v>1</v>
      </c>
    </row>
    <row r="207" spans="12:58" ht="15.75" customHeight="1" x14ac:dyDescent="0.25">
      <c r="L207" t="s">
        <v>372</v>
      </c>
      <c r="M207">
        <v>60</v>
      </c>
      <c r="N207">
        <f>Table_2[[#This Row],[Pnom]]*1.6*1000</f>
        <v>96000</v>
      </c>
      <c r="O207">
        <v>950</v>
      </c>
      <c r="P207" s="3">
        <v>250</v>
      </c>
      <c r="Q207" s="4">
        <v>143410</v>
      </c>
      <c r="R207" s="4" t="s">
        <v>63</v>
      </c>
      <c r="S207" s="5">
        <v>60</v>
      </c>
      <c r="T207">
        <v>48</v>
      </c>
      <c r="U207">
        <v>48</v>
      </c>
      <c r="V207">
        <v>60</v>
      </c>
      <c r="W207">
        <v>48</v>
      </c>
      <c r="AH207" s="11">
        <v>40</v>
      </c>
      <c r="AI207" s="11">
        <v>32</v>
      </c>
      <c r="AJ207" s="11">
        <v>32</v>
      </c>
      <c r="AK207" s="11">
        <v>40</v>
      </c>
      <c r="AL207" s="11">
        <v>32</v>
      </c>
      <c r="AM207" s="11"/>
      <c r="AN207" s="11"/>
      <c r="AO207" s="11"/>
      <c r="AP207" s="11"/>
      <c r="AQ207" s="11"/>
      <c r="AR207" s="11"/>
      <c r="AS207" s="11"/>
      <c r="AT207" s="11"/>
      <c r="AU207" s="11"/>
      <c r="AV207" s="11"/>
      <c r="AW207">
        <v>2</v>
      </c>
      <c r="AX207">
        <v>2</v>
      </c>
      <c r="AY207">
        <v>2</v>
      </c>
      <c r="AZ207">
        <v>2</v>
      </c>
      <c r="BA207">
        <v>2</v>
      </c>
    </row>
    <row r="208" spans="12:58" ht="15.75" customHeight="1" x14ac:dyDescent="0.25">
      <c r="L208" t="s">
        <v>373</v>
      </c>
      <c r="M208">
        <v>75</v>
      </c>
      <c r="N208">
        <f>Table_2[[#This Row],[Pnom]]*1.6*1000</f>
        <v>120000</v>
      </c>
      <c r="O208">
        <v>950</v>
      </c>
      <c r="P208" s="3">
        <v>250</v>
      </c>
      <c r="Q208" s="15">
        <v>163668</v>
      </c>
      <c r="R208" s="15" t="s">
        <v>63</v>
      </c>
      <c r="S208" s="13">
        <v>48</v>
      </c>
      <c r="T208" s="11">
        <v>48</v>
      </c>
      <c r="U208" s="11">
        <v>48</v>
      </c>
      <c r="V208" s="11">
        <v>48</v>
      </c>
      <c r="W208" s="11">
        <v>48</v>
      </c>
      <c r="X208" s="11">
        <v>48</v>
      </c>
      <c r="Y208" s="11">
        <v>48</v>
      </c>
      <c r="Z208" s="11">
        <v>48</v>
      </c>
      <c r="AA208" s="11"/>
      <c r="AB208" s="11"/>
      <c r="AC208" s="11"/>
      <c r="AD208" s="11"/>
      <c r="AE208" s="11"/>
      <c r="AF208" s="11"/>
      <c r="AG208" s="11"/>
      <c r="AH208" s="11">
        <v>32</v>
      </c>
      <c r="AI208" s="11">
        <v>32</v>
      </c>
      <c r="AJ208" s="11">
        <v>32</v>
      </c>
      <c r="AK208" s="11">
        <v>32</v>
      </c>
      <c r="AL208" s="11">
        <v>32</v>
      </c>
      <c r="AM208" s="11">
        <v>32</v>
      </c>
      <c r="AN208" s="11">
        <v>32</v>
      </c>
      <c r="AO208" s="11">
        <v>32</v>
      </c>
      <c r="AP208" s="11"/>
      <c r="AQ208" s="11"/>
      <c r="AR208" s="11"/>
      <c r="AS208" s="11"/>
      <c r="AT208" s="11"/>
      <c r="AU208" s="11"/>
      <c r="AV208" s="11"/>
      <c r="AW208">
        <v>2</v>
      </c>
      <c r="AX208">
        <v>2</v>
      </c>
      <c r="AY208">
        <v>2</v>
      </c>
      <c r="AZ208">
        <v>2</v>
      </c>
      <c r="BA208">
        <v>2</v>
      </c>
      <c r="BB208">
        <v>2</v>
      </c>
      <c r="BC208">
        <v>2</v>
      </c>
      <c r="BD208">
        <v>2</v>
      </c>
    </row>
    <row r="209" spans="12:61" ht="15.75" customHeight="1" x14ac:dyDescent="0.25">
      <c r="L209" t="s">
        <v>374</v>
      </c>
      <c r="M209">
        <v>75</v>
      </c>
      <c r="N209">
        <v>120000</v>
      </c>
      <c r="O209">
        <v>800</v>
      </c>
      <c r="P209" s="3">
        <v>250</v>
      </c>
      <c r="Q209" s="4">
        <v>154013</v>
      </c>
      <c r="R209" s="4" t="s">
        <v>63</v>
      </c>
      <c r="S209" s="5">
        <v>50</v>
      </c>
      <c r="T209">
        <v>50</v>
      </c>
      <c r="U209">
        <v>50</v>
      </c>
      <c r="V209">
        <v>50</v>
      </c>
      <c r="W209">
        <v>50</v>
      </c>
      <c r="X209">
        <v>50</v>
      </c>
      <c r="Y209">
        <v>50</v>
      </c>
      <c r="Z209">
        <v>50</v>
      </c>
      <c r="AH209" s="3">
        <v>40</v>
      </c>
      <c r="AI209">
        <v>40</v>
      </c>
      <c r="AJ209">
        <v>40</v>
      </c>
      <c r="AK209">
        <v>40</v>
      </c>
      <c r="AL209">
        <v>40</v>
      </c>
      <c r="AM209">
        <v>40</v>
      </c>
      <c r="AN209">
        <v>40</v>
      </c>
      <c r="AO209">
        <v>40</v>
      </c>
      <c r="AV209" s="3"/>
      <c r="AW209">
        <v>2</v>
      </c>
      <c r="AX209">
        <v>2</v>
      </c>
      <c r="AY209">
        <v>2</v>
      </c>
      <c r="AZ209">
        <v>2</v>
      </c>
      <c r="BA209">
        <v>2</v>
      </c>
      <c r="BB209">
        <v>2</v>
      </c>
      <c r="BC209">
        <v>2</v>
      </c>
      <c r="BD209">
        <v>2</v>
      </c>
    </row>
    <row r="210" spans="12:61" ht="15.75" customHeight="1" x14ac:dyDescent="0.25">
      <c r="L210" t="s">
        <v>375</v>
      </c>
      <c r="M210">
        <v>8</v>
      </c>
      <c r="N210">
        <v>11000</v>
      </c>
      <c r="O210">
        <v>500</v>
      </c>
      <c r="P210" s="3">
        <v>125</v>
      </c>
      <c r="Q210" s="15"/>
      <c r="R210" s="15"/>
      <c r="S210" s="5">
        <v>22</v>
      </c>
      <c r="T210">
        <v>22</v>
      </c>
      <c r="AH210" s="11">
        <v>22</v>
      </c>
      <c r="AI210" s="11">
        <v>22</v>
      </c>
      <c r="AJ210" s="11"/>
      <c r="AK210" s="11"/>
      <c r="AL210" s="11"/>
      <c r="AM210" s="11"/>
      <c r="AN210" s="11"/>
      <c r="AO210" s="11"/>
      <c r="AP210" s="11"/>
      <c r="AQ210" s="11"/>
      <c r="AR210" s="11"/>
      <c r="AS210" s="11"/>
      <c r="AT210" s="11"/>
      <c r="AU210" s="11"/>
      <c r="AV210" s="11"/>
      <c r="AW210">
        <v>1</v>
      </c>
      <c r="AX210">
        <v>1</v>
      </c>
    </row>
    <row r="211" spans="12:61" ht="15.75" customHeight="1" x14ac:dyDescent="0.25">
      <c r="L211" t="s">
        <v>376</v>
      </c>
      <c r="M211">
        <v>10</v>
      </c>
      <c r="N211">
        <f>Table_2[[#This Row],[Pnom]]*1.7*1000</f>
        <v>17000</v>
      </c>
      <c r="O211">
        <v>600</v>
      </c>
      <c r="P211">
        <v>50</v>
      </c>
      <c r="Q211" s="4">
        <v>216764</v>
      </c>
      <c r="R211" s="4" t="s">
        <v>63</v>
      </c>
      <c r="S211" s="5">
        <v>25</v>
      </c>
      <c r="T211">
        <v>25</v>
      </c>
      <c r="U211">
        <v>25</v>
      </c>
      <c r="AH211">
        <v>20</v>
      </c>
      <c r="AI211">
        <v>20</v>
      </c>
      <c r="AJ211">
        <v>20</v>
      </c>
      <c r="AW211">
        <v>1</v>
      </c>
      <c r="AX211">
        <v>1</v>
      </c>
      <c r="AY211">
        <v>1</v>
      </c>
    </row>
    <row r="212" spans="12:61" ht="15.75" customHeight="1" x14ac:dyDescent="0.25">
      <c r="L212" t="s">
        <v>377</v>
      </c>
      <c r="M212">
        <v>110</v>
      </c>
      <c r="N212">
        <v>220000</v>
      </c>
      <c r="O212">
        <v>1100</v>
      </c>
      <c r="P212" s="3">
        <v>250</v>
      </c>
      <c r="Q212" s="15">
        <v>216753</v>
      </c>
      <c r="R212" s="15" t="s">
        <v>63</v>
      </c>
      <c r="S212" s="13">
        <v>40</v>
      </c>
      <c r="T212" s="11">
        <v>40</v>
      </c>
      <c r="U212" s="11">
        <v>40</v>
      </c>
      <c r="V212" s="11">
        <v>40</v>
      </c>
      <c r="W212" s="11">
        <v>40</v>
      </c>
      <c r="X212" s="11">
        <v>40</v>
      </c>
      <c r="Y212" s="11">
        <v>40</v>
      </c>
      <c r="Z212" s="11">
        <v>40</v>
      </c>
      <c r="AA212" s="11">
        <v>40</v>
      </c>
      <c r="AB212" s="11"/>
      <c r="AC212" s="11"/>
      <c r="AD212" s="11"/>
      <c r="AE212" s="11"/>
      <c r="AF212" s="11"/>
      <c r="AG212" s="11"/>
      <c r="AH212" s="11">
        <v>26</v>
      </c>
      <c r="AI212" s="11">
        <v>26</v>
      </c>
      <c r="AJ212" s="11">
        <v>26</v>
      </c>
      <c r="AK212" s="11">
        <v>26</v>
      </c>
      <c r="AL212" s="11">
        <v>26</v>
      </c>
      <c r="AM212" s="11">
        <v>26</v>
      </c>
      <c r="AN212" s="11">
        <v>26</v>
      </c>
      <c r="AO212" s="11">
        <v>26</v>
      </c>
      <c r="AP212" s="11">
        <v>26</v>
      </c>
      <c r="AQ212" s="11"/>
      <c r="AR212" s="11"/>
      <c r="AS212" s="11"/>
      <c r="AT212" s="11"/>
      <c r="AU212" s="11"/>
      <c r="AV212" s="11"/>
      <c r="AW212">
        <v>2</v>
      </c>
      <c r="AX212">
        <v>2</v>
      </c>
      <c r="AY212">
        <v>2</v>
      </c>
      <c r="AZ212">
        <v>2</v>
      </c>
      <c r="BA212">
        <v>2</v>
      </c>
      <c r="BB212">
        <v>2</v>
      </c>
      <c r="BC212">
        <v>2</v>
      </c>
      <c r="BD212">
        <v>2</v>
      </c>
      <c r="BE212">
        <v>2</v>
      </c>
    </row>
    <row r="213" spans="12:61" ht="15.75" customHeight="1" x14ac:dyDescent="0.25">
      <c r="L213" t="s">
        <v>378</v>
      </c>
      <c r="M213">
        <v>110</v>
      </c>
      <c r="N213">
        <f>Table_2[[#This Row],[Pnom]]*2*1000</f>
        <v>220000</v>
      </c>
      <c r="O213">
        <v>1100</v>
      </c>
      <c r="P213">
        <v>200</v>
      </c>
      <c r="Q213" s="4"/>
      <c r="R213" s="4"/>
      <c r="S213" s="5">
        <v>40</v>
      </c>
      <c r="T213">
        <v>40</v>
      </c>
      <c r="U213">
        <v>40</v>
      </c>
      <c r="V213">
        <v>40</v>
      </c>
      <c r="W213">
        <v>40</v>
      </c>
      <c r="X213">
        <v>40</v>
      </c>
      <c r="Y213">
        <v>40</v>
      </c>
      <c r="Z213">
        <v>40</v>
      </c>
      <c r="AA213">
        <v>40</v>
      </c>
      <c r="AB213">
        <v>40</v>
      </c>
      <c r="AC213">
        <v>40</v>
      </c>
      <c r="AD213">
        <v>40</v>
      </c>
      <c r="AH213">
        <v>30</v>
      </c>
      <c r="AI213">
        <v>30</v>
      </c>
      <c r="AJ213">
        <v>30</v>
      </c>
      <c r="AK213">
        <v>30</v>
      </c>
      <c r="AL213">
        <v>30</v>
      </c>
      <c r="AM213">
        <v>30</v>
      </c>
      <c r="AN213">
        <v>30</v>
      </c>
      <c r="AO213">
        <v>30</v>
      </c>
      <c r="AP213">
        <v>30</v>
      </c>
      <c r="AQ213">
        <v>30</v>
      </c>
      <c r="AR213">
        <v>30</v>
      </c>
      <c r="AS213">
        <v>30</v>
      </c>
      <c r="AW213">
        <v>2</v>
      </c>
      <c r="AX213">
        <v>2</v>
      </c>
      <c r="AY213">
        <v>2</v>
      </c>
      <c r="AZ213">
        <v>2</v>
      </c>
      <c r="BA213">
        <v>2</v>
      </c>
      <c r="BB213">
        <v>2</v>
      </c>
      <c r="BC213">
        <v>2</v>
      </c>
      <c r="BD213">
        <v>2</v>
      </c>
      <c r="BE213">
        <v>2</v>
      </c>
      <c r="BF213">
        <v>2</v>
      </c>
      <c r="BG213">
        <v>2</v>
      </c>
      <c r="BH213">
        <v>2</v>
      </c>
    </row>
    <row r="214" spans="12:61" ht="15.75" customHeight="1" x14ac:dyDescent="0.25">
      <c r="L214" t="s">
        <v>379</v>
      </c>
      <c r="M214">
        <v>12</v>
      </c>
      <c r="N214">
        <f>Table_2[[#This Row],[Pnom]]*2*1000</f>
        <v>24000</v>
      </c>
      <c r="O214">
        <v>1100</v>
      </c>
      <c r="P214">
        <v>180</v>
      </c>
      <c r="Q214" s="15">
        <v>216765</v>
      </c>
      <c r="R214" s="15" t="s">
        <v>63</v>
      </c>
      <c r="S214" s="5">
        <v>40</v>
      </c>
      <c r="T214">
        <v>20</v>
      </c>
      <c r="AH214">
        <v>32</v>
      </c>
      <c r="AI214">
        <v>16</v>
      </c>
      <c r="AW214">
        <v>2</v>
      </c>
      <c r="AX214">
        <v>1</v>
      </c>
    </row>
    <row r="215" spans="12:61" ht="15.75" customHeight="1" x14ac:dyDescent="0.25">
      <c r="L215" t="s">
        <v>380</v>
      </c>
      <c r="M215">
        <v>15</v>
      </c>
      <c r="N215">
        <f>Table_2[[#This Row],[Pnom]]*2*1000</f>
        <v>30000</v>
      </c>
      <c r="O215">
        <v>1100</v>
      </c>
      <c r="P215">
        <v>180</v>
      </c>
      <c r="Q215" s="4">
        <v>216766</v>
      </c>
      <c r="R215" s="4" t="s">
        <v>63</v>
      </c>
      <c r="S215" s="5">
        <v>40</v>
      </c>
      <c r="T215">
        <v>40</v>
      </c>
      <c r="AH215">
        <v>32</v>
      </c>
      <c r="AI215">
        <v>32</v>
      </c>
      <c r="AW215">
        <v>2</v>
      </c>
      <c r="AX215">
        <v>2</v>
      </c>
    </row>
    <row r="216" spans="12:61" ht="15.75" customHeight="1" x14ac:dyDescent="0.25">
      <c r="L216" t="s">
        <v>381</v>
      </c>
      <c r="M216">
        <v>20</v>
      </c>
      <c r="N216">
        <f>Table_2[[#This Row],[Pnom]]*2*1000</f>
        <v>40000</v>
      </c>
      <c r="O216">
        <v>1100</v>
      </c>
      <c r="P216">
        <v>180</v>
      </c>
      <c r="Q216" s="15">
        <v>216767</v>
      </c>
      <c r="R216" s="15" t="s">
        <v>63</v>
      </c>
      <c r="S216" s="5">
        <v>40</v>
      </c>
      <c r="T216">
        <v>40</v>
      </c>
      <c r="AH216">
        <v>32</v>
      </c>
      <c r="AI216">
        <v>32</v>
      </c>
      <c r="AW216">
        <v>2</v>
      </c>
      <c r="AX216">
        <v>2</v>
      </c>
    </row>
    <row r="217" spans="12:61" ht="15.75" customHeight="1" x14ac:dyDescent="0.25">
      <c r="L217" t="s">
        <v>382</v>
      </c>
      <c r="M217">
        <v>250</v>
      </c>
      <c r="N217">
        <v>500000</v>
      </c>
      <c r="O217">
        <v>1500</v>
      </c>
      <c r="P217">
        <v>500</v>
      </c>
      <c r="Q217" s="4"/>
      <c r="R217" s="4"/>
      <c r="S217" s="13">
        <v>50</v>
      </c>
      <c r="T217" s="11">
        <v>50</v>
      </c>
      <c r="U217" s="11">
        <v>50</v>
      </c>
      <c r="V217" s="11">
        <v>50</v>
      </c>
      <c r="W217" s="11">
        <v>50</v>
      </c>
      <c r="X217" s="11">
        <v>50</v>
      </c>
      <c r="Y217" s="11">
        <v>50</v>
      </c>
      <c r="Z217" s="11">
        <v>50</v>
      </c>
      <c r="AA217" s="11">
        <v>50</v>
      </c>
      <c r="AB217" s="11">
        <v>50</v>
      </c>
      <c r="AC217" s="11">
        <v>50</v>
      </c>
      <c r="AD217" s="11">
        <v>50</v>
      </c>
      <c r="AE217" s="11"/>
      <c r="AF217" s="11"/>
      <c r="AG217" s="11"/>
      <c r="AH217" s="11">
        <v>30</v>
      </c>
      <c r="AI217" s="11">
        <v>30</v>
      </c>
      <c r="AJ217" s="11">
        <v>30</v>
      </c>
      <c r="AK217" s="11">
        <v>30</v>
      </c>
      <c r="AL217" s="11">
        <v>30</v>
      </c>
      <c r="AM217" s="11">
        <v>30</v>
      </c>
      <c r="AN217" s="11">
        <v>30</v>
      </c>
      <c r="AO217" s="11">
        <v>30</v>
      </c>
      <c r="AP217" s="11">
        <v>30</v>
      </c>
      <c r="AQ217" s="11">
        <v>30</v>
      </c>
      <c r="AR217" s="11">
        <v>30</v>
      </c>
      <c r="AS217" s="11">
        <v>30</v>
      </c>
      <c r="AT217" s="11"/>
      <c r="AU217" s="11"/>
      <c r="AV217" s="11"/>
      <c r="AW217">
        <v>2</v>
      </c>
      <c r="AX217">
        <v>2</v>
      </c>
      <c r="AY217">
        <v>2</v>
      </c>
      <c r="AZ217">
        <v>2</v>
      </c>
      <c r="BA217">
        <v>2</v>
      </c>
      <c r="BB217">
        <v>2</v>
      </c>
      <c r="BC217">
        <v>2</v>
      </c>
      <c r="BD217">
        <v>2</v>
      </c>
      <c r="BE217">
        <v>2</v>
      </c>
      <c r="BF217">
        <v>2</v>
      </c>
      <c r="BG217">
        <v>2</v>
      </c>
      <c r="BH217">
        <v>2</v>
      </c>
      <c r="BI217" s="22"/>
    </row>
    <row r="218" spans="12:61" ht="15.75" customHeight="1" x14ac:dyDescent="0.25">
      <c r="L218" t="s">
        <v>383</v>
      </c>
      <c r="M218">
        <v>25</v>
      </c>
      <c r="N218">
        <v>50000</v>
      </c>
      <c r="O218">
        <v>1100</v>
      </c>
      <c r="P218">
        <v>250</v>
      </c>
      <c r="Q218" s="15"/>
      <c r="R218" s="15"/>
      <c r="S218" s="5">
        <v>40</v>
      </c>
      <c r="T218">
        <v>40</v>
      </c>
      <c r="U218">
        <v>40</v>
      </c>
      <c r="AH218">
        <v>26</v>
      </c>
      <c r="AI218">
        <v>26</v>
      </c>
      <c r="AW218">
        <v>2</v>
      </c>
      <c r="AX218">
        <v>2</v>
      </c>
      <c r="AY218">
        <v>2</v>
      </c>
    </row>
    <row r="219" spans="12:61" ht="15.75" customHeight="1" x14ac:dyDescent="0.25">
      <c r="L219" t="s">
        <v>384</v>
      </c>
      <c r="M219">
        <v>25</v>
      </c>
      <c r="N219">
        <f>Table_2[[#This Row],[Pnom]]*2*1000</f>
        <v>50000</v>
      </c>
      <c r="O219">
        <v>1100</v>
      </c>
      <c r="P219">
        <v>200</v>
      </c>
      <c r="Q219" s="4">
        <v>216768</v>
      </c>
      <c r="R219" s="4" t="s">
        <v>63</v>
      </c>
      <c r="S219">
        <v>40</v>
      </c>
      <c r="T219">
        <v>40</v>
      </c>
      <c r="U219">
        <v>40</v>
      </c>
      <c r="AH219">
        <v>30</v>
      </c>
      <c r="AI219">
        <v>30</v>
      </c>
      <c r="AJ219">
        <v>30</v>
      </c>
      <c r="AW219">
        <v>2</v>
      </c>
      <c r="AX219">
        <v>2</v>
      </c>
      <c r="AY219">
        <v>2</v>
      </c>
    </row>
    <row r="220" spans="12:61" ht="15.75" customHeight="1" x14ac:dyDescent="0.25">
      <c r="L220" t="s">
        <v>385</v>
      </c>
      <c r="M220">
        <v>30</v>
      </c>
      <c r="N220">
        <f>Table_2[[#This Row],[Pnom]]*2*1000</f>
        <v>60000</v>
      </c>
      <c r="O220">
        <v>1100</v>
      </c>
      <c r="P220">
        <v>200</v>
      </c>
      <c r="Q220" s="15">
        <v>216769</v>
      </c>
      <c r="R220" s="15" t="s">
        <v>63</v>
      </c>
      <c r="S220">
        <v>40</v>
      </c>
      <c r="T220">
        <v>40</v>
      </c>
      <c r="U220">
        <v>40</v>
      </c>
      <c r="AH220">
        <v>30</v>
      </c>
      <c r="AI220">
        <v>30</v>
      </c>
      <c r="AJ220">
        <v>30</v>
      </c>
      <c r="AW220">
        <v>2</v>
      </c>
      <c r="AX220">
        <v>2</v>
      </c>
      <c r="AY220">
        <v>2</v>
      </c>
    </row>
    <row r="221" spans="12:61" ht="15.75" customHeight="1" x14ac:dyDescent="0.25">
      <c r="L221" t="s">
        <v>386</v>
      </c>
      <c r="M221">
        <v>333</v>
      </c>
      <c r="N221">
        <v>666000</v>
      </c>
      <c r="O221">
        <v>1500</v>
      </c>
      <c r="P221">
        <v>880</v>
      </c>
      <c r="Q221" s="4"/>
      <c r="R221" s="4"/>
      <c r="S221" s="11">
        <v>60</v>
      </c>
      <c r="T221" s="11">
        <v>60</v>
      </c>
      <c r="U221" s="11">
        <v>60</v>
      </c>
      <c r="V221" s="11">
        <v>60</v>
      </c>
      <c r="W221" s="11">
        <v>60</v>
      </c>
      <c r="X221" s="11">
        <v>60</v>
      </c>
      <c r="Y221" s="11">
        <v>60</v>
      </c>
      <c r="Z221" s="11">
        <v>60</v>
      </c>
      <c r="AA221" s="11">
        <v>60</v>
      </c>
      <c r="AB221" s="11">
        <v>60</v>
      </c>
      <c r="AC221" s="11">
        <v>60</v>
      </c>
      <c r="AD221" s="11">
        <v>60</v>
      </c>
      <c r="AE221" s="11"/>
      <c r="AF221" s="11"/>
      <c r="AG221" s="11"/>
      <c r="AH221" s="11">
        <v>40</v>
      </c>
      <c r="AI221" s="11">
        <v>40</v>
      </c>
      <c r="AJ221" s="11">
        <v>40</v>
      </c>
      <c r="AK221" s="11">
        <v>40</v>
      </c>
      <c r="AL221" s="11">
        <v>40</v>
      </c>
      <c r="AM221" s="11">
        <v>40</v>
      </c>
      <c r="AN221" s="11">
        <v>40</v>
      </c>
      <c r="AO221" s="11">
        <v>40</v>
      </c>
      <c r="AP221" s="11">
        <v>40</v>
      </c>
      <c r="AQ221" s="11">
        <v>40</v>
      </c>
      <c r="AR221" s="11">
        <v>40</v>
      </c>
      <c r="AS221" s="11">
        <v>40</v>
      </c>
      <c r="AT221" s="11"/>
      <c r="AU221" s="11"/>
      <c r="AV221" s="11"/>
      <c r="AW221">
        <v>2</v>
      </c>
      <c r="AX221">
        <v>2</v>
      </c>
      <c r="AY221">
        <v>2</v>
      </c>
      <c r="AZ221">
        <v>2</v>
      </c>
      <c r="BA221">
        <v>2</v>
      </c>
      <c r="BB221">
        <v>2</v>
      </c>
      <c r="BC221">
        <v>2</v>
      </c>
      <c r="BD221">
        <v>2</v>
      </c>
      <c r="BE221">
        <v>2</v>
      </c>
      <c r="BF221">
        <v>2</v>
      </c>
      <c r="BG221">
        <v>2</v>
      </c>
      <c r="BH221">
        <v>2</v>
      </c>
      <c r="BI221" s="22"/>
    </row>
    <row r="222" spans="12:61" ht="15.75" customHeight="1" x14ac:dyDescent="0.25">
      <c r="L222" t="s">
        <v>387</v>
      </c>
      <c r="M222">
        <v>350</v>
      </c>
      <c r="N222">
        <v>700000</v>
      </c>
      <c r="O222">
        <v>1500</v>
      </c>
      <c r="P222">
        <v>880</v>
      </c>
      <c r="Q222" s="15"/>
      <c r="R222" s="15"/>
      <c r="S222" s="11">
        <v>60</v>
      </c>
      <c r="T222" s="11">
        <v>60</v>
      </c>
      <c r="U222" s="11">
        <v>60</v>
      </c>
      <c r="V222" s="11">
        <v>60</v>
      </c>
      <c r="W222" s="11">
        <v>60</v>
      </c>
      <c r="X222" s="11">
        <v>60</v>
      </c>
      <c r="Y222" s="11">
        <v>60</v>
      </c>
      <c r="Z222" s="11">
        <v>60</v>
      </c>
      <c r="AA222" s="11">
        <v>60</v>
      </c>
      <c r="AB222" s="11">
        <v>60</v>
      </c>
      <c r="AC222" s="11">
        <v>60</v>
      </c>
      <c r="AD222" s="11">
        <v>60</v>
      </c>
      <c r="AE222" s="11"/>
      <c r="AF222" s="11"/>
      <c r="AG222" s="11"/>
      <c r="AH222" s="11">
        <v>40</v>
      </c>
      <c r="AI222" s="11">
        <v>40</v>
      </c>
      <c r="AJ222" s="11">
        <v>40</v>
      </c>
      <c r="AK222" s="11">
        <v>40</v>
      </c>
      <c r="AL222" s="11">
        <v>40</v>
      </c>
      <c r="AM222" s="11">
        <v>40</v>
      </c>
      <c r="AN222" s="11">
        <v>40</v>
      </c>
      <c r="AO222" s="11">
        <v>40</v>
      </c>
      <c r="AP222" s="11">
        <v>40</v>
      </c>
      <c r="AQ222" s="11">
        <v>40</v>
      </c>
      <c r="AR222" s="11">
        <v>40</v>
      </c>
      <c r="AS222" s="11">
        <v>40</v>
      </c>
      <c r="AT222" s="11"/>
      <c r="AU222" s="11"/>
      <c r="AV222" s="11"/>
      <c r="AW222">
        <v>2</v>
      </c>
      <c r="AX222">
        <v>2</v>
      </c>
      <c r="AY222">
        <v>2</v>
      </c>
      <c r="AZ222">
        <v>2</v>
      </c>
      <c r="BA222">
        <v>2</v>
      </c>
      <c r="BB222">
        <v>2</v>
      </c>
      <c r="BC222">
        <v>2</v>
      </c>
      <c r="BD222">
        <v>2</v>
      </c>
      <c r="BE222">
        <v>2</v>
      </c>
      <c r="BF222">
        <v>2</v>
      </c>
      <c r="BG222">
        <v>2</v>
      </c>
      <c r="BH222">
        <v>2</v>
      </c>
      <c r="BI222" s="22"/>
    </row>
    <row r="223" spans="12:61" ht="15.75" customHeight="1" x14ac:dyDescent="0.25">
      <c r="L223" t="s">
        <v>388</v>
      </c>
      <c r="M223">
        <v>36</v>
      </c>
      <c r="N223">
        <f>Table_2[[#This Row],[Pnom]]*2*1000</f>
        <v>72000</v>
      </c>
      <c r="O223">
        <v>1100</v>
      </c>
      <c r="P223">
        <v>200</v>
      </c>
      <c r="Q223" s="4">
        <v>216770</v>
      </c>
      <c r="R223" s="4" t="s">
        <v>63</v>
      </c>
      <c r="S223">
        <v>40</v>
      </c>
      <c r="T223">
        <v>40</v>
      </c>
      <c r="U223">
        <v>40</v>
      </c>
      <c r="V223">
        <v>40</v>
      </c>
      <c r="AH223">
        <v>30</v>
      </c>
      <c r="AI223">
        <v>30</v>
      </c>
      <c r="AJ223">
        <v>30</v>
      </c>
      <c r="AK223">
        <v>30</v>
      </c>
      <c r="AW223">
        <v>2</v>
      </c>
      <c r="AX223">
        <v>2</v>
      </c>
      <c r="AY223">
        <v>2</v>
      </c>
      <c r="AZ223">
        <v>2</v>
      </c>
    </row>
    <row r="224" spans="12:61" ht="15.75" customHeight="1" x14ac:dyDescent="0.25">
      <c r="L224" t="s">
        <v>389</v>
      </c>
      <c r="M224">
        <v>40</v>
      </c>
      <c r="N224">
        <v>80000</v>
      </c>
      <c r="O224">
        <v>1100</v>
      </c>
      <c r="P224">
        <v>200</v>
      </c>
      <c r="Q224" s="15">
        <v>216771</v>
      </c>
      <c r="R224" s="15" t="s">
        <v>63</v>
      </c>
      <c r="S224">
        <v>40</v>
      </c>
      <c r="T224">
        <v>40</v>
      </c>
      <c r="U224">
        <v>40</v>
      </c>
      <c r="V224">
        <v>40</v>
      </c>
      <c r="AH224">
        <v>30</v>
      </c>
      <c r="AI224">
        <v>30</v>
      </c>
      <c r="AJ224">
        <v>30</v>
      </c>
      <c r="AK224">
        <v>30</v>
      </c>
      <c r="AW224">
        <v>2</v>
      </c>
      <c r="AX224">
        <v>2</v>
      </c>
      <c r="AY224">
        <v>2</v>
      </c>
      <c r="AZ224">
        <v>2</v>
      </c>
    </row>
    <row r="225" spans="12:57" ht="15.75" customHeight="1" x14ac:dyDescent="0.25">
      <c r="L225" t="s">
        <v>390</v>
      </c>
      <c r="M225">
        <v>5</v>
      </c>
      <c r="N225">
        <f>Table_2[[#This Row],[Pnom]]*1.7*1000</f>
        <v>8500</v>
      </c>
      <c r="O225">
        <v>600</v>
      </c>
      <c r="P225">
        <v>50</v>
      </c>
      <c r="Q225" s="4">
        <v>216761</v>
      </c>
      <c r="R225" s="4" t="s">
        <v>63</v>
      </c>
      <c r="S225">
        <v>25</v>
      </c>
      <c r="T225">
        <v>25</v>
      </c>
      <c r="AH225">
        <v>20</v>
      </c>
      <c r="AI225">
        <v>20</v>
      </c>
      <c r="AW225">
        <v>1</v>
      </c>
      <c r="AX225">
        <v>1</v>
      </c>
    </row>
    <row r="226" spans="12:57" ht="15.75" customHeight="1" x14ac:dyDescent="0.25">
      <c r="L226" t="s">
        <v>391</v>
      </c>
      <c r="M226">
        <v>50</v>
      </c>
      <c r="N226">
        <f>Table_2[[#This Row],[Pnom]]*2*1000</f>
        <v>100000</v>
      </c>
      <c r="O226">
        <v>850</v>
      </c>
      <c r="P226">
        <v>200</v>
      </c>
      <c r="Q226" s="15"/>
      <c r="R226" s="15"/>
      <c r="S226">
        <v>40</v>
      </c>
      <c r="T226">
        <v>40</v>
      </c>
      <c r="U226">
        <v>40</v>
      </c>
      <c r="V226">
        <v>40</v>
      </c>
      <c r="W226">
        <v>40</v>
      </c>
      <c r="X226">
        <v>40</v>
      </c>
      <c r="Y226">
        <v>40</v>
      </c>
      <c r="Z226">
        <v>40</v>
      </c>
      <c r="AH226">
        <v>30</v>
      </c>
      <c r="AI226">
        <v>30</v>
      </c>
      <c r="AJ226">
        <v>30</v>
      </c>
      <c r="AK226">
        <v>30</v>
      </c>
      <c r="AL226">
        <v>30</v>
      </c>
      <c r="AM226">
        <v>30</v>
      </c>
      <c r="AN226">
        <v>30</v>
      </c>
      <c r="AO226">
        <v>30</v>
      </c>
      <c r="AW226">
        <v>2</v>
      </c>
      <c r="AX226">
        <v>2</v>
      </c>
      <c r="AY226">
        <v>2</v>
      </c>
      <c r="AZ226">
        <v>2</v>
      </c>
      <c r="BA226">
        <v>2</v>
      </c>
      <c r="BB226">
        <v>2</v>
      </c>
      <c r="BC226">
        <v>2</v>
      </c>
      <c r="BD226">
        <v>2</v>
      </c>
    </row>
    <row r="227" spans="12:57" ht="15.75" customHeight="1" x14ac:dyDescent="0.25">
      <c r="L227" t="s">
        <v>392</v>
      </c>
      <c r="M227">
        <v>6</v>
      </c>
      <c r="N227">
        <f>Table_2[[#This Row],[Pnom]]*1.7*1000</f>
        <v>10200</v>
      </c>
      <c r="O227">
        <v>600</v>
      </c>
      <c r="P227">
        <v>50</v>
      </c>
      <c r="Q227" s="4">
        <v>216762</v>
      </c>
      <c r="R227" s="4" t="s">
        <v>63</v>
      </c>
      <c r="S227">
        <v>25</v>
      </c>
      <c r="T227">
        <v>25</v>
      </c>
      <c r="AH227">
        <v>20</v>
      </c>
      <c r="AI227">
        <v>20</v>
      </c>
      <c r="AW227">
        <v>1</v>
      </c>
      <c r="AX227">
        <v>1</v>
      </c>
    </row>
    <row r="228" spans="12:57" ht="15.75" customHeight="1" x14ac:dyDescent="0.25">
      <c r="L228" t="s">
        <v>393</v>
      </c>
      <c r="M228">
        <v>7.5</v>
      </c>
      <c r="N228">
        <f>Table_2[[#This Row],[Pnom]]*1.7*1000</f>
        <v>12750</v>
      </c>
      <c r="O228">
        <v>600</v>
      </c>
      <c r="P228">
        <v>50</v>
      </c>
      <c r="Q228" s="15">
        <v>216763</v>
      </c>
      <c r="R228" s="15" t="s">
        <v>63</v>
      </c>
      <c r="S228">
        <v>25</v>
      </c>
      <c r="T228">
        <v>25</v>
      </c>
      <c r="U228">
        <v>25</v>
      </c>
      <c r="AH228">
        <v>20</v>
      </c>
      <c r="AI228">
        <v>20</v>
      </c>
      <c r="AJ228">
        <v>20</v>
      </c>
      <c r="AW228">
        <v>1</v>
      </c>
      <c r="AX228">
        <v>1</v>
      </c>
      <c r="AY228">
        <v>1</v>
      </c>
    </row>
    <row r="229" spans="12:57" ht="15.75" customHeight="1" x14ac:dyDescent="0.25">
      <c r="L229" t="s">
        <v>394</v>
      </c>
      <c r="M229">
        <v>75</v>
      </c>
      <c r="N229">
        <v>150000</v>
      </c>
      <c r="O229">
        <v>1100</v>
      </c>
      <c r="P229">
        <v>250</v>
      </c>
      <c r="Q229" s="4">
        <v>107419</v>
      </c>
      <c r="R229" s="4" t="s">
        <v>63</v>
      </c>
      <c r="S229" s="11">
        <v>40</v>
      </c>
      <c r="T229" s="11">
        <v>40</v>
      </c>
      <c r="U229" s="11">
        <v>40</v>
      </c>
      <c r="V229" s="11">
        <v>40</v>
      </c>
      <c r="W229" s="11">
        <v>40</v>
      </c>
      <c r="X229" s="11">
        <v>40</v>
      </c>
      <c r="Y229" s="11">
        <v>40</v>
      </c>
      <c r="Z229" s="11">
        <v>40</v>
      </c>
      <c r="AA229" s="11">
        <v>40</v>
      </c>
      <c r="AB229" s="11"/>
      <c r="AC229" s="11"/>
      <c r="AD229" s="11"/>
      <c r="AE229" s="11"/>
      <c r="AF229" s="11"/>
      <c r="AG229" s="11"/>
      <c r="AH229" s="11">
        <v>26</v>
      </c>
      <c r="AI229" s="11">
        <v>26</v>
      </c>
      <c r="AJ229" s="11">
        <v>26</v>
      </c>
      <c r="AK229" s="11">
        <v>26</v>
      </c>
      <c r="AL229" s="11">
        <v>26</v>
      </c>
      <c r="AM229" s="11">
        <v>26</v>
      </c>
      <c r="AN229" s="11">
        <v>26</v>
      </c>
      <c r="AO229" s="11">
        <v>26</v>
      </c>
      <c r="AP229" s="11">
        <v>26</v>
      </c>
      <c r="AQ229" s="11"/>
      <c r="AR229" s="11"/>
      <c r="AS229" s="11"/>
      <c r="AT229" s="11"/>
      <c r="AU229" s="11"/>
      <c r="AV229" s="11"/>
      <c r="AW229">
        <v>2</v>
      </c>
      <c r="AX229">
        <v>2</v>
      </c>
      <c r="AY229">
        <v>2</v>
      </c>
      <c r="AZ229">
        <v>2</v>
      </c>
      <c r="BA229">
        <v>2</v>
      </c>
      <c r="BB229">
        <v>2</v>
      </c>
      <c r="BC229">
        <v>2</v>
      </c>
      <c r="BD229">
        <v>2</v>
      </c>
      <c r="BE229">
        <v>2</v>
      </c>
    </row>
    <row r="230" spans="12:57" ht="15.75" customHeight="1" x14ac:dyDescent="0.25">
      <c r="L230" t="s">
        <v>395</v>
      </c>
      <c r="M230">
        <v>75</v>
      </c>
      <c r="N230">
        <v>150000</v>
      </c>
      <c r="O230">
        <v>1100</v>
      </c>
      <c r="P230">
        <v>200</v>
      </c>
      <c r="Q230" s="15"/>
      <c r="R230" s="15"/>
      <c r="S230" s="5">
        <v>40</v>
      </c>
      <c r="T230">
        <v>40</v>
      </c>
      <c r="U230">
        <v>40</v>
      </c>
      <c r="V230">
        <v>40</v>
      </c>
      <c r="W230">
        <v>40</v>
      </c>
      <c r="X230">
        <v>40</v>
      </c>
      <c r="Y230">
        <v>40</v>
      </c>
      <c r="Z230">
        <v>40</v>
      </c>
      <c r="AG230" s="6"/>
      <c r="AH230">
        <v>30</v>
      </c>
      <c r="AI230">
        <v>30</v>
      </c>
      <c r="AJ230">
        <v>30</v>
      </c>
      <c r="AK230">
        <v>30</v>
      </c>
      <c r="AL230">
        <v>30</v>
      </c>
      <c r="AM230">
        <v>30</v>
      </c>
      <c r="AN230">
        <v>30</v>
      </c>
      <c r="AO230">
        <v>30</v>
      </c>
      <c r="AV230" s="6"/>
      <c r="AW230">
        <v>2</v>
      </c>
      <c r="AX230">
        <v>2</v>
      </c>
      <c r="AY230">
        <v>2</v>
      </c>
      <c r="AZ230">
        <v>2</v>
      </c>
      <c r="BA230">
        <v>2</v>
      </c>
      <c r="BB230">
        <v>2</v>
      </c>
      <c r="BC230">
        <v>2</v>
      </c>
      <c r="BD230">
        <v>2</v>
      </c>
    </row>
    <row r="231" spans="12:57" ht="15.75" customHeight="1" x14ac:dyDescent="0.25">
      <c r="Q231" s="4"/>
      <c r="R231" s="4"/>
    </row>
    <row r="232" spans="12:57" ht="15.75" customHeight="1" x14ac:dyDescent="0.25">
      <c r="Q232" s="15"/>
      <c r="R232" s="15"/>
    </row>
    <row r="233" spans="12:57" ht="15.75" customHeight="1" x14ac:dyDescent="0.25">
      <c r="Q233" s="4"/>
      <c r="R233" s="4"/>
    </row>
    <row r="234" spans="12:57" ht="15.75" customHeight="1" x14ac:dyDescent="0.25">
      <c r="Q234" s="15"/>
      <c r="R234" s="15"/>
    </row>
    <row r="235" spans="12:57" ht="15.75" customHeight="1" x14ac:dyDescent="0.25">
      <c r="Q235" s="4"/>
      <c r="R235" s="4"/>
    </row>
    <row r="236" spans="12:57" ht="15.75" customHeight="1" x14ac:dyDescent="0.25">
      <c r="Q236" s="15"/>
      <c r="R236" s="15"/>
    </row>
    <row r="237" spans="12:57" ht="15.75" customHeight="1" x14ac:dyDescent="0.25">
      <c r="Q237" s="4"/>
      <c r="R237" s="4"/>
    </row>
    <row r="238" spans="12:57" ht="15.75" customHeight="1" x14ac:dyDescent="0.25">
      <c r="Q238" s="15"/>
      <c r="R238" s="15"/>
    </row>
    <row r="239" spans="12:57" ht="15.75" customHeight="1" x14ac:dyDescent="0.25">
      <c r="Q239" s="4"/>
      <c r="R239" s="4"/>
    </row>
    <row r="240" spans="12:57" ht="15.75" customHeight="1" x14ac:dyDescent="0.25">
      <c r="Q240" s="15"/>
      <c r="R240" s="15"/>
    </row>
    <row r="241" spans="17:18" ht="15.75" customHeight="1" x14ac:dyDescent="0.25">
      <c r="Q241" s="4"/>
      <c r="R241" s="4"/>
    </row>
    <row r="242" spans="17:18" ht="15.75" customHeight="1" x14ac:dyDescent="0.25">
      <c r="Q242" s="15"/>
      <c r="R242" s="15"/>
    </row>
    <row r="243" spans="17:18" ht="15.75" customHeight="1" x14ac:dyDescent="0.25">
      <c r="Q243" s="4"/>
      <c r="R243" s="4"/>
    </row>
    <row r="244" spans="17:18" ht="15.75" customHeight="1" x14ac:dyDescent="0.25">
      <c r="Q244" s="15"/>
      <c r="R244" s="15"/>
    </row>
    <row r="245" spans="17:18" ht="15.75" customHeight="1" x14ac:dyDescent="0.25">
      <c r="Q245" s="4"/>
      <c r="R245" s="4"/>
    </row>
    <row r="246" spans="17:18" ht="15.75" customHeight="1" x14ac:dyDescent="0.25">
      <c r="Q246" s="15"/>
      <c r="R246" s="15"/>
    </row>
    <row r="247" spans="17:18" ht="15.75" customHeight="1" x14ac:dyDescent="0.25">
      <c r="Q247" s="4"/>
      <c r="R247" s="4"/>
    </row>
    <row r="248" spans="17:18" ht="15.75" customHeight="1" x14ac:dyDescent="0.25">
      <c r="Q248" s="15"/>
      <c r="R248" s="15"/>
    </row>
    <row r="249" spans="17:18" ht="15.75" customHeight="1" x14ac:dyDescent="0.25">
      <c r="Q249" s="4"/>
      <c r="R249" s="4"/>
    </row>
    <row r="250" spans="17:18" ht="15.75" customHeight="1" x14ac:dyDescent="0.25">
      <c r="Q250" s="15"/>
      <c r="R250" s="15"/>
    </row>
    <row r="251" spans="17:18" ht="15.75" customHeight="1" x14ac:dyDescent="0.25">
      <c r="Q251" s="4"/>
      <c r="R251" s="4"/>
    </row>
    <row r="252" spans="17:18" ht="15.75" customHeight="1" x14ac:dyDescent="0.25">
      <c r="Q252" s="15"/>
      <c r="R252" s="15"/>
    </row>
    <row r="253" spans="17:18" ht="15.75" customHeight="1" x14ac:dyDescent="0.25">
      <c r="Q253" s="4"/>
      <c r="R253" s="4"/>
    </row>
    <row r="254" spans="17:18" ht="15.75" customHeight="1" x14ac:dyDescent="0.25">
      <c r="Q254" s="15"/>
      <c r="R254" s="15"/>
    </row>
    <row r="255" spans="17:18" ht="15.75" customHeight="1" x14ac:dyDescent="0.25">
      <c r="Q255" s="4"/>
      <c r="R255" s="4"/>
    </row>
    <row r="256" spans="17:18" ht="15.75" customHeight="1" x14ac:dyDescent="0.25">
      <c r="Q256" s="15"/>
      <c r="R256" s="15"/>
    </row>
    <row r="257" spans="17:18" ht="15.75" customHeight="1" x14ac:dyDescent="0.25">
      <c r="Q257" s="4"/>
      <c r="R257" s="4"/>
    </row>
    <row r="258" spans="17:18" ht="15.75" customHeight="1" x14ac:dyDescent="0.25">
      <c r="Q258" s="15"/>
      <c r="R258" s="15"/>
    </row>
    <row r="259" spans="17:18" ht="15.75" customHeight="1" x14ac:dyDescent="0.25">
      <c r="Q259" s="4"/>
      <c r="R259" s="4"/>
    </row>
    <row r="260" spans="17:18" ht="15.75" customHeight="1" x14ac:dyDescent="0.25">
      <c r="Q260" s="15"/>
      <c r="R260" s="15"/>
    </row>
    <row r="261" spans="17:18" ht="15.75" customHeight="1" x14ac:dyDescent="0.25">
      <c r="Q261" s="4"/>
      <c r="R261" s="4"/>
    </row>
    <row r="262" spans="17:18" ht="15.75" customHeight="1" x14ac:dyDescent="0.25">
      <c r="Q262" s="15"/>
      <c r="R262" s="15"/>
    </row>
    <row r="263" spans="17:18" ht="15.75" customHeight="1" x14ac:dyDescent="0.25">
      <c r="Q263" s="4"/>
      <c r="R263" s="4"/>
    </row>
    <row r="264" spans="17:18" ht="15.75" customHeight="1" x14ac:dyDescent="0.25">
      <c r="Q264" s="15"/>
      <c r="R264" s="15"/>
    </row>
    <row r="265" spans="17:18" ht="15.75" customHeight="1" x14ac:dyDescent="0.25">
      <c r="Q265" s="4"/>
      <c r="R265" s="4"/>
    </row>
    <row r="266" spans="17:18" ht="15.75" customHeight="1" x14ac:dyDescent="0.25">
      <c r="Q266" s="15"/>
      <c r="R266" s="15"/>
    </row>
    <row r="267" spans="17:18" ht="15.75" customHeight="1" x14ac:dyDescent="0.25">
      <c r="Q267" s="4"/>
      <c r="R267" s="4"/>
    </row>
    <row r="268" spans="17:18" ht="15.75" customHeight="1" x14ac:dyDescent="0.25">
      <c r="Q268" s="15"/>
      <c r="R268" s="15"/>
    </row>
    <row r="269" spans="17:18" ht="15.75" customHeight="1" x14ac:dyDescent="0.25">
      <c r="Q269" s="4"/>
      <c r="R269" s="4"/>
    </row>
    <row r="270" spans="17:18" ht="15.75" customHeight="1" x14ac:dyDescent="0.25">
      <c r="Q270" s="15"/>
      <c r="R270" s="15"/>
    </row>
    <row r="271" spans="17:18" ht="15.75" customHeight="1" x14ac:dyDescent="0.25">
      <c r="Q271" s="4"/>
      <c r="R271" s="4"/>
    </row>
    <row r="272" spans="17:18" ht="15.75" customHeight="1" x14ac:dyDescent="0.25">
      <c r="Q272" s="15"/>
      <c r="R272" s="15"/>
    </row>
    <row r="273" spans="17:18" ht="15.75" customHeight="1" x14ac:dyDescent="0.25">
      <c r="Q273" s="4"/>
      <c r="R273" s="4"/>
    </row>
    <row r="274" spans="17:18" ht="15.75" customHeight="1" x14ac:dyDescent="0.25">
      <c r="Q274" s="15"/>
      <c r="R274" s="15"/>
    </row>
    <row r="275" spans="17:18" ht="15.75" customHeight="1" x14ac:dyDescent="0.25">
      <c r="Q275" s="4"/>
      <c r="R275" s="4"/>
    </row>
    <row r="276" spans="17:18" ht="15.75" customHeight="1" x14ac:dyDescent="0.25">
      <c r="Q276" s="15"/>
      <c r="R276" s="15"/>
    </row>
    <row r="277" spans="17:18" ht="15.75" customHeight="1" x14ac:dyDescent="0.25">
      <c r="Q277" s="4"/>
      <c r="R277" s="4"/>
    </row>
    <row r="278" spans="17:18" ht="15.75" customHeight="1" x14ac:dyDescent="0.25">
      <c r="Q278" s="15"/>
      <c r="R278" s="15"/>
    </row>
    <row r="279" spans="17:18" ht="15.75" customHeight="1" x14ac:dyDescent="0.25">
      <c r="Q279" s="4"/>
      <c r="R279" s="4"/>
    </row>
    <row r="280" spans="17:18" ht="15.75" customHeight="1" x14ac:dyDescent="0.25">
      <c r="Q280" s="15"/>
      <c r="R280" s="15"/>
    </row>
    <row r="281" spans="17:18" ht="15.75" customHeight="1" x14ac:dyDescent="0.25">
      <c r="Q281" s="4"/>
      <c r="R281" s="4"/>
    </row>
    <row r="282" spans="17:18" ht="15.75" customHeight="1" x14ac:dyDescent="0.25">
      <c r="Q282" s="15"/>
      <c r="R282" s="15"/>
    </row>
    <row r="283" spans="17:18" ht="15.75" customHeight="1" x14ac:dyDescent="0.25">
      <c r="Q283" s="4"/>
      <c r="R283" s="4"/>
    </row>
    <row r="284" spans="17:18" ht="15.75" customHeight="1" x14ac:dyDescent="0.25">
      <c r="Q284" s="15"/>
      <c r="R284" s="15"/>
    </row>
    <row r="285" spans="17:18" ht="15.75" customHeight="1" x14ac:dyDescent="0.25">
      <c r="Q285" s="4"/>
      <c r="R285" s="4"/>
    </row>
    <row r="286" spans="17:18" ht="15.75" customHeight="1" x14ac:dyDescent="0.25">
      <c r="Q286" s="15"/>
      <c r="R286" s="15"/>
    </row>
    <row r="287" spans="17:18" ht="15.75" customHeight="1" x14ac:dyDescent="0.25">
      <c r="Q287" s="4"/>
      <c r="R287" s="4"/>
    </row>
    <row r="288" spans="17:18" ht="15.75" customHeight="1" x14ac:dyDescent="0.25">
      <c r="Q288" s="15"/>
      <c r="R288" s="15"/>
    </row>
    <row r="289" spans="17:18" ht="15.75" customHeight="1" x14ac:dyDescent="0.25">
      <c r="Q289" s="4"/>
      <c r="R289" s="4"/>
    </row>
    <row r="290" spans="17:18" ht="15.75" customHeight="1" x14ac:dyDescent="0.25">
      <c r="Q290" s="15"/>
      <c r="R290" s="15"/>
    </row>
    <row r="291" spans="17:18" ht="15.75" customHeight="1" x14ac:dyDescent="0.25">
      <c r="Q291" s="4"/>
      <c r="R291" s="4"/>
    </row>
    <row r="292" spans="17:18" ht="15.75" customHeight="1" x14ac:dyDescent="0.25">
      <c r="Q292" s="15"/>
      <c r="R292" s="15"/>
    </row>
    <row r="293" spans="17:18" ht="15.75" customHeight="1" x14ac:dyDescent="0.25">
      <c r="Q293" s="4"/>
      <c r="R293" s="4"/>
    </row>
    <row r="294" spans="17:18" ht="15.75" customHeight="1" x14ac:dyDescent="0.25">
      <c r="Q294" s="15"/>
      <c r="R294" s="15"/>
    </row>
    <row r="295" spans="17:18" ht="15.75" customHeight="1" x14ac:dyDescent="0.25">
      <c r="Q295" s="4"/>
      <c r="R295" s="4"/>
    </row>
    <row r="296" spans="17:18" ht="15.75" customHeight="1" x14ac:dyDescent="0.25"/>
    <row r="297" spans="17:18" ht="15.75" customHeight="1" x14ac:dyDescent="0.25"/>
    <row r="298" spans="17:18" ht="15.75" customHeight="1" x14ac:dyDescent="0.25"/>
    <row r="299" spans="17:18" ht="15.75" customHeight="1" x14ac:dyDescent="0.25"/>
    <row r="300" spans="17:18" ht="15.75" customHeight="1" x14ac:dyDescent="0.25"/>
    <row r="301" spans="17:18" ht="15.75" customHeight="1" x14ac:dyDescent="0.25"/>
    <row r="302" spans="17:18" ht="15.75" customHeight="1" x14ac:dyDescent="0.25"/>
    <row r="303" spans="17:18" ht="15.75" customHeight="1" x14ac:dyDescent="0.25"/>
    <row r="304" spans="17:18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conditionalFormatting sqref="G3:G208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:H20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88:U88">
    <cfRule type="containsBlanks" dxfId="2" priority="32">
      <formula>LEN(TRIM(BP88))=0</formula>
    </cfRule>
  </conditionalFormatting>
  <conditionalFormatting sqref="S3:AG239">
    <cfRule type="containsBlanks" dxfId="1" priority="1">
      <formula>LEN(TRIM(BP3))=0</formula>
    </cfRule>
  </conditionalFormatting>
  <conditionalFormatting sqref="AH3:AV239">
    <cfRule type="containsBlanks" dxfId="0" priority="2">
      <formula>LEN(TRIM(CE3))=0</formula>
    </cfRule>
  </conditionalFormatting>
  <pageMargins left="0.511811024" right="0.511811024" top="0.78740157500000008" bottom="0.78740157500000008" header="0" footer="0"/>
  <pageSetup paperSize="9" orientation="portrait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MPPT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Feitosa Farias</dc:creator>
  <cp:lastModifiedBy>Engenharia Sou Energy</cp:lastModifiedBy>
  <cp:revision>7</cp:revision>
  <dcterms:created xsi:type="dcterms:W3CDTF">2021-05-08T15:24:55Z</dcterms:created>
  <dcterms:modified xsi:type="dcterms:W3CDTF">2026-09-18T20:10:34Z</dcterms:modified>
</cp:coreProperties>
</file>